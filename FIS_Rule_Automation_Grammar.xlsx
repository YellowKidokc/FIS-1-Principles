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192.168.2.50\h_hp\Desktop\"/>
    </mc:Choice>
  </mc:AlternateContent>
  <xr:revisionPtr revIDLastSave="0" documentId="8_{27896A04-E4CD-4576-9E7C-CC40F189851D}" xr6:coauthVersionLast="47" xr6:coauthVersionMax="47" xr10:uidLastSave="{00000000-0000-0000-0000-000000000000}"/>
  <bookViews>
    <workbookView xWindow="768" yWindow="1368" windowWidth="36864" windowHeight="18144" firstSheet="7" activeTab="16" xr2:uid="{00000000-000D-0000-FFFF-FFFF00000000}"/>
  </bookViews>
  <sheets>
    <sheet name="Dashboard" sheetId="1" r:id="rId1"/>
    <sheet name="Rule_Builder" sheetId="2" r:id="rId2"/>
    <sheet name="Fields" sheetId="3" r:id="rId3"/>
    <sheet name="Operators" sheetId="4" r:id="rId4"/>
    <sheet name="Actions_Master" sheetId="5" r:id="rId5"/>
    <sheet name="Action_Map" sheetId="6" r:id="rId6"/>
    <sheet name="Action_Sequence_Matrix" sheetId="7" r:id="rId7"/>
    <sheet name="View_Modes" sheetId="8" r:id="rId8"/>
    <sheet name="Guardrails" sheetId="9" r:id="rId9"/>
    <sheet name="Automation_Triggers" sheetId="10" r:id="rId10"/>
    <sheet name="Automation_Rules" sheetId="11" r:id="rId11"/>
    <sheet name="Compatibility_Matrix" sheetId="12" r:id="rId12"/>
    <sheet name="Symptoms" sheetId="13" r:id="rId13"/>
    <sheet name="Workflow_Templates" sheetId="14" r:id="rId14"/>
    <sheet name="Report_Sections" sheetId="15" r:id="rId15"/>
    <sheet name="Ledger_Schema" sheetId="16" r:id="rId16"/>
    <sheet name="Simulation_Lab" sheetId="17" r:id="rId17"/>
    <sheet name="Lists" sheetId="18" r:id="rId18"/>
    <sheet name="ACT_LOOK_SCAN" sheetId="19" r:id="rId19"/>
    <sheet name="ACT_CLASSIFY" sheetId="20" r:id="rId20"/>
    <sheet name="ACT_TAG" sheetId="21" r:id="rId21"/>
    <sheet name="ACT_RENAME" sheetId="22" r:id="rId22"/>
    <sheet name="ACT_MOVE" sheetId="23" r:id="rId23"/>
    <sheet name="ACT_COPY" sheetId="24" r:id="rId24"/>
    <sheet name="ACT_ARCHIVE" sheetId="25" r:id="rId25"/>
    <sheet name="ACT_DELETE_LATER" sheetId="26" r:id="rId26"/>
    <sheet name="ACT_PROTECT" sheetId="27" r:id="rId27"/>
    <sheet name="ACT_COMPARE_DEDUPE" sheetId="28" r:id="rId28"/>
    <sheet name="ACT_SIDECAR" sheetId="29" r:id="rId29"/>
    <sheet name="ACT_REPORT" sheetId="30" r:id="rId30"/>
    <sheet name="ACT_AUTOMATION" sheetId="31" r:id="rId31"/>
    <sheet name="ACT_ANALYZE_EXTRACT" sheetId="32" r:id="rId32"/>
    <sheet name="Field_Operator_Map" sheetId="33" r:id="rId33"/>
    <sheet name="Action_Conditions" sheetId="34" r:id="rId34"/>
    <sheet name="Routine_Builder" sheetId="35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7" l="1"/>
  <c r="F11" i="17"/>
  <c r="F10" i="17"/>
  <c r="F9" i="17"/>
  <c r="F8" i="17"/>
  <c r="F7" i="17"/>
  <c r="F6" i="17"/>
  <c r="F5" i="17"/>
  <c r="H44" i="2"/>
  <c r="G44" i="2"/>
  <c r="E44" i="2"/>
  <c r="H43" i="2"/>
  <c r="G43" i="2"/>
  <c r="E43" i="2"/>
  <c r="H42" i="2"/>
  <c r="G42" i="2"/>
  <c r="E42" i="2"/>
  <c r="H41" i="2"/>
  <c r="G41" i="2"/>
  <c r="E41" i="2"/>
  <c r="H40" i="2"/>
  <c r="G40" i="2"/>
  <c r="E40" i="2"/>
  <c r="H39" i="2"/>
  <c r="G39" i="2"/>
  <c r="E39" i="2"/>
  <c r="H38" i="2"/>
  <c r="G38" i="2"/>
  <c r="E38" i="2"/>
  <c r="H37" i="2"/>
  <c r="G37" i="2"/>
  <c r="E37" i="2"/>
  <c r="H36" i="2"/>
  <c r="G36" i="2"/>
  <c r="E36" i="2"/>
  <c r="H35" i="2"/>
  <c r="G35" i="2"/>
  <c r="E35" i="2"/>
  <c r="H34" i="2"/>
  <c r="G34" i="2"/>
  <c r="E34" i="2"/>
  <c r="H33" i="2"/>
  <c r="G33" i="2"/>
  <c r="E33" i="2"/>
  <c r="H32" i="2"/>
  <c r="G32" i="2"/>
  <c r="E32" i="2"/>
  <c r="H31" i="2"/>
  <c r="G31" i="2"/>
  <c r="E31" i="2"/>
  <c r="H30" i="2"/>
  <c r="G30" i="2"/>
  <c r="E30" i="2"/>
  <c r="H29" i="2"/>
  <c r="G29" i="2"/>
  <c r="E29" i="2"/>
  <c r="H28" i="2"/>
  <c r="G28" i="2"/>
  <c r="E28" i="2"/>
  <c r="H27" i="2"/>
  <c r="G27" i="2"/>
  <c r="E27" i="2"/>
  <c r="H26" i="2"/>
  <c r="G26" i="2"/>
  <c r="E26" i="2"/>
  <c r="H25" i="2"/>
  <c r="G25" i="2"/>
  <c r="E25" i="2"/>
  <c r="H24" i="2"/>
  <c r="G24" i="2"/>
  <c r="E24" i="2"/>
  <c r="H23" i="2"/>
  <c r="G23" i="2"/>
  <c r="E23" i="2"/>
  <c r="H22" i="2"/>
  <c r="G22" i="2"/>
  <c r="E22" i="2"/>
  <c r="H21" i="2"/>
  <c r="G21" i="2"/>
  <c r="E21" i="2"/>
  <c r="H20" i="2"/>
  <c r="G20" i="2"/>
  <c r="E20" i="2"/>
  <c r="H19" i="2"/>
  <c r="G19" i="2"/>
  <c r="E19" i="2"/>
  <c r="H18" i="2"/>
  <c r="G18" i="2"/>
  <c r="E18" i="2"/>
  <c r="H17" i="2"/>
  <c r="G17" i="2"/>
  <c r="E17" i="2"/>
  <c r="H16" i="2"/>
  <c r="G16" i="2"/>
  <c r="E16" i="2"/>
  <c r="H15" i="2"/>
  <c r="G15" i="2"/>
  <c r="E15" i="2"/>
  <c r="H14" i="2"/>
  <c r="G14" i="2"/>
  <c r="E14" i="2"/>
  <c r="H13" i="2"/>
  <c r="G13" i="2"/>
  <c r="E13" i="2"/>
  <c r="H12" i="2"/>
  <c r="G12" i="2"/>
  <c r="E12" i="2"/>
  <c r="H11" i="2"/>
  <c r="G11" i="2"/>
  <c r="E11" i="2"/>
  <c r="H10" i="2"/>
  <c r="G10" i="2"/>
  <c r="E10" i="2"/>
  <c r="H9" i="2"/>
  <c r="G9" i="2"/>
  <c r="E9" i="2"/>
  <c r="H8" i="2"/>
  <c r="G8" i="2"/>
  <c r="E8" i="2"/>
  <c r="H7" i="2"/>
  <c r="G7" i="2"/>
  <c r="E7" i="2"/>
  <c r="H6" i="2"/>
  <c r="G6" i="2"/>
  <c r="E6" i="2"/>
  <c r="H5" i="2"/>
  <c r="G5" i="2"/>
  <c r="E5" i="2"/>
  <c r="F23" i="1"/>
  <c r="F22" i="1"/>
  <c r="F21" i="1"/>
  <c r="F20" i="1"/>
  <c r="F19" i="1"/>
  <c r="F18" i="1"/>
  <c r="F17" i="1"/>
  <c r="F16" i="1"/>
  <c r="F15" i="1"/>
  <c r="F14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<sst xmlns="http://schemas.openxmlformats.org/spreadsheetml/2006/main" count="6667" uniqueCount="2005">
  <si>
    <t>FIS Rule + Automation Grammar</t>
  </si>
  <si>
    <t>Master workbook for the File Intelligence System: selection grammar, action grammar, guardrails, views, symptoms, simulations, and Python-readable specs.</t>
  </si>
  <si>
    <t>Metric</t>
  </si>
  <si>
    <t>Value</t>
  </si>
  <si>
    <t>Meaning</t>
  </si>
  <si>
    <t>Stage</t>
  </si>
  <si>
    <t>What it means</t>
  </si>
  <si>
    <t>Primary sheets</t>
  </si>
  <si>
    <t>Fields</t>
  </si>
  <si>
    <t>Selectable file properties</t>
  </si>
  <si>
    <t>1. Selection</t>
  </si>
  <si>
    <t>Find the files/folders. Field → operator → value.</t>
  </si>
  <si>
    <t>Rule_Builder, Fields, Operators</t>
  </si>
  <si>
    <t>Operators</t>
  </si>
  <si>
    <t>Filter operations</t>
  </si>
  <si>
    <t>2. Diagnosis</t>
  </si>
  <si>
    <t>Detect symptoms and risk before any action.</t>
  </si>
  <si>
    <t>Symptoms, Guardrails</t>
  </si>
  <si>
    <t>Actions</t>
  </si>
  <si>
    <t>Action registry</t>
  </si>
  <si>
    <t>3. Plan</t>
  </si>
  <si>
    <t>Choose the sequence and compatible actions.</t>
  </si>
  <si>
    <t>Action_Map, Action_Sequence_Matrix</t>
  </si>
  <si>
    <t>Guardrails</t>
  </si>
  <si>
    <t>Non-negotiable safety rules</t>
  </si>
  <si>
    <t>4. Preview</t>
  </si>
  <si>
    <t>Show exact before/after, required guardrails, and review queue.</t>
  </si>
  <si>
    <t>Simulation_Lab, Compatibility_Matrix</t>
  </si>
  <si>
    <t>Symptoms</t>
  </si>
  <si>
    <t>Detected file/folder pathologies</t>
  </si>
  <si>
    <t>5. Approve</t>
  </si>
  <si>
    <t>Human confirms/edit/rejects; this trains the preference engine later.</t>
  </si>
  <si>
    <t>Automation_Rules, Ledger_Schema</t>
  </si>
  <si>
    <t>Workflows</t>
  </si>
  <si>
    <t>Reusable consulting playbooks</t>
  </si>
  <si>
    <t>6. Record</t>
  </si>
  <si>
    <t>Every action writes to ledger and report.</t>
  </si>
  <si>
    <t>Report_Sections, Ledger_Schema</t>
  </si>
  <si>
    <t>Compatibility Rules</t>
  </si>
  <si>
    <t>Known action pair rules</t>
  </si>
  <si>
    <t>Action Family</t>
  </si>
  <si>
    <t>Count</t>
  </si>
  <si>
    <t>Core Rules</t>
  </si>
  <si>
    <t>Action</t>
  </si>
  <si>
    <t>A filter finds files. An automation rule decides what to do. A guardrail decides what must never happen.</t>
  </si>
  <si>
    <t>Analyze</t>
  </si>
  <si>
    <t>Nothing executes until preview/approval says it can.</t>
  </si>
  <si>
    <t>Automation</t>
  </si>
  <si>
    <t>APIs suggest. The registry learns. The scanner scores. The user approves.</t>
  </si>
  <si>
    <t>Govern</t>
  </si>
  <si>
    <t>Every file receives role, route, risk, confidence, rival destination, evidence trail, action, and safety policy.</t>
  </si>
  <si>
    <t>Inspect</t>
  </si>
  <si>
    <t>Integration</t>
  </si>
  <si>
    <t>Metadata</t>
  </si>
  <si>
    <t>Risk</t>
  </si>
  <si>
    <t>Safety</t>
  </si>
  <si>
    <t>Scaffold</t>
  </si>
  <si>
    <t>Rule Builder / Selection Grammar</t>
  </si>
  <si>
    <t>Field → operator → value. This finds a file set. Actions and automation are separate.</t>
  </si>
  <si>
    <t>rule_id</t>
  </si>
  <si>
    <t>enabled</t>
  </si>
  <si>
    <t>AND_OR</t>
  </si>
  <si>
    <t>field</t>
  </si>
  <si>
    <t>field_type</t>
  </si>
  <si>
    <t>operator</t>
  </si>
  <si>
    <t>operator_type</t>
  </si>
  <si>
    <t>operator_valid</t>
  </si>
  <si>
    <t>value</t>
  </si>
  <si>
    <t>action</t>
  </si>
  <si>
    <t>target/parameter</t>
  </si>
  <si>
    <t>guardrail</t>
  </si>
  <si>
    <t>view_mode</t>
  </si>
  <si>
    <t>approval_mode</t>
  </si>
  <si>
    <t>notes</t>
  </si>
  <si>
    <t>RULE-001</t>
  </si>
  <si>
    <t>TRUE</t>
  </si>
  <si>
    <t>AND</t>
  </si>
  <si>
    <t>path</t>
  </si>
  <si>
    <t>contains</t>
  </si>
  <si>
    <t>Downloads</t>
  </si>
  <si>
    <t>classify</t>
  </si>
  <si>
    <t>GR-006</t>
  </si>
  <si>
    <t>details</t>
  </si>
  <si>
    <t>preview_only</t>
  </si>
  <si>
    <t>Start by classifying downloads</t>
  </si>
  <si>
    <t>RULE-002</t>
  </si>
  <si>
    <t>type</t>
  </si>
  <si>
    <t>is</t>
  </si>
  <si>
    <t>image</t>
  </si>
  <si>
    <t>move</t>
  </si>
  <si>
    <t>Pictures\Screenshots\Review</t>
  </si>
  <si>
    <t>thumbnail</t>
  </si>
  <si>
    <t>approval_required</t>
  </si>
  <si>
    <t>Image route candidate</t>
  </si>
  <si>
    <t>RULE-003</t>
  </si>
  <si>
    <t>date_modified</t>
  </si>
  <si>
    <t>older_than_days</t>
  </si>
  <si>
    <t>90</t>
  </si>
  <si>
    <t>archive</t>
  </si>
  <si>
    <t>Archive\Old_Downloads</t>
  </si>
  <si>
    <t>Old loose files</t>
  </si>
  <si>
    <t>RULE-004</t>
  </si>
  <si>
    <t>name</t>
  </si>
  <si>
    <t>regex</t>
  </si>
  <si>
    <t>(?i)final|draft|v\d+</t>
  </si>
  <si>
    <t>detect_symptoms</t>
  </si>
  <si>
    <t>version_sprawl</t>
  </si>
  <si>
    <t>GR-005</t>
  </si>
  <si>
    <t>grouped</t>
  </si>
  <si>
    <t>Find version sprawl</t>
  </si>
  <si>
    <t>RULE-005</t>
  </si>
  <si>
    <t>extension</t>
  </si>
  <si>
    <t>.env</t>
  </si>
  <si>
    <t>protect</t>
  </si>
  <si>
    <t>Do_Not_Touch</t>
  </si>
  <si>
    <t>GR-004</t>
  </si>
  <si>
    <t>blocked</t>
  </si>
  <si>
    <t>Secrets/config protection</t>
  </si>
  <si>
    <t>RULE-006</t>
  </si>
  <si>
    <t>FALSE</t>
  </si>
  <si>
    <t>RULE-007</t>
  </si>
  <si>
    <t>RULE-008</t>
  </si>
  <si>
    <t>RULE-009</t>
  </si>
  <si>
    <t>RULE-010</t>
  </si>
  <si>
    <t>RULE-011</t>
  </si>
  <si>
    <t>RULE-012</t>
  </si>
  <si>
    <t>RULE-013</t>
  </si>
  <si>
    <t>RULE-014</t>
  </si>
  <si>
    <t>RULE-015</t>
  </si>
  <si>
    <t>RULE-016</t>
  </si>
  <si>
    <t>RULE-017</t>
  </si>
  <si>
    <t>RULE-018</t>
  </si>
  <si>
    <t>RULE-019</t>
  </si>
  <si>
    <t>RULE-020</t>
  </si>
  <si>
    <t>RULE-021</t>
  </si>
  <si>
    <t>RULE-022</t>
  </si>
  <si>
    <t>RULE-023</t>
  </si>
  <si>
    <t>RULE-024</t>
  </si>
  <si>
    <t>RULE-025</t>
  </si>
  <si>
    <t>RULE-026</t>
  </si>
  <si>
    <t>RULE-027</t>
  </si>
  <si>
    <t>RULE-028</t>
  </si>
  <si>
    <t>RULE-029</t>
  </si>
  <si>
    <t>RULE-030</t>
  </si>
  <si>
    <t>RULE-031</t>
  </si>
  <si>
    <t>RULE-032</t>
  </si>
  <si>
    <t>RULE-033</t>
  </si>
  <si>
    <t>RULE-034</t>
  </si>
  <si>
    <t>RULE-035</t>
  </si>
  <si>
    <t>RULE-036</t>
  </si>
  <si>
    <t>RULE-037</t>
  </si>
  <si>
    <t>RULE-038</t>
  </si>
  <si>
    <t>RULE-039</t>
  </si>
  <si>
    <t>RULE-040</t>
  </si>
  <si>
    <t>Fields Registry</t>
  </si>
  <si>
    <t>All selectable fields/properties for the FIS rule builder. The operator IDs column controls what should be valid.</t>
  </si>
  <si>
    <t>field_id</t>
  </si>
  <si>
    <t>display_name</t>
  </si>
  <si>
    <t>data_type</t>
  </si>
  <si>
    <t>applies_to</t>
  </si>
  <si>
    <t>description</t>
  </si>
  <si>
    <t>example</t>
  </si>
  <si>
    <t>allowed_operator_ids</t>
  </si>
  <si>
    <t>Name</t>
  </si>
  <si>
    <t>text</t>
  </si>
  <si>
    <t>all files/folders</t>
  </si>
  <si>
    <t>Filename including extension</t>
  </si>
  <si>
    <t>invoice_2024.xlsx</t>
  </si>
  <si>
    <t>text.contains,text.starts_with,text.ends_with,text.equals,text.not_contains,text.regex</t>
  </si>
  <si>
    <t>stem</t>
  </si>
  <si>
    <t>Stem</t>
  </si>
  <si>
    <t>all files</t>
  </si>
  <si>
    <t>Filename without extension</t>
  </si>
  <si>
    <t>invoice_2024</t>
  </si>
  <si>
    <t>Extension</t>
  </si>
  <si>
    <t>category</t>
  </si>
  <si>
    <t>File extension or [none]</t>
  </si>
  <si>
    <t>.xlsx</t>
  </si>
  <si>
    <t>cat.is,cat.is_not,cat.in,cat.not_in,text.equals,text.regex</t>
  </si>
  <si>
    <t>Path</t>
  </si>
  <si>
    <t>all objects</t>
  </si>
  <si>
    <t>Full path</t>
  </si>
  <si>
    <t>D:\\Docs\\invoice.xlsx</t>
  </si>
  <si>
    <t>folder</t>
  </si>
  <si>
    <t>Folder</t>
  </si>
  <si>
    <t>Parent folder path/name</t>
  </si>
  <si>
    <t>Type</t>
  </si>
  <si>
    <t>File type family</t>
  </si>
  <si>
    <t>document/image/code/config</t>
  </si>
  <si>
    <t>cat.is,cat.is_not,cat.in,cat.not_in</t>
  </si>
  <si>
    <t>detected_type</t>
  </si>
  <si>
    <t>Detected Type</t>
  </si>
  <si>
    <t>MIME/Magika/Tika detected type</t>
  </si>
  <si>
    <t>application/pdf</t>
  </si>
  <si>
    <t>cat.is,cat.is_not,cat.in,cat.not_in,text.contains</t>
  </si>
  <si>
    <t>mime_type</t>
  </si>
  <si>
    <t>MIME Type</t>
  </si>
  <si>
    <t>MIME type from detector</t>
  </si>
  <si>
    <t>image/png</t>
  </si>
  <si>
    <t>size_bytes</t>
  </si>
  <si>
    <t>Size Bytes</t>
  </si>
  <si>
    <t>number</t>
  </si>
  <si>
    <t>File size in bytes</t>
  </si>
  <si>
    <t>1048576</t>
  </si>
  <si>
    <t>num.gt,num.gte,num.lt,num.lte,num.eq,num.neq,num.between</t>
  </si>
  <si>
    <t>size_mb</t>
  </si>
  <si>
    <t>Size MB</t>
  </si>
  <si>
    <t>File size in MB</t>
  </si>
  <si>
    <t>12.4</t>
  </si>
  <si>
    <t>tag</t>
  </si>
  <si>
    <t>Tag</t>
  </si>
  <si>
    <t>sidecar/tagged objects</t>
  </si>
  <si>
    <t>User/system tag</t>
  </si>
  <si>
    <t>canonical</t>
  </si>
  <si>
    <t>text.contains,text.starts_with,text.ends_with,text.equals,text.not_contains,text.regex,text.empty,text.not_empty</t>
  </si>
  <si>
    <t>content</t>
  </si>
  <si>
    <t>Content</t>
  </si>
  <si>
    <t>text/doc/pdf/html</t>
  </si>
  <si>
    <t>Extracted text sample</t>
  </si>
  <si>
    <t>claim/evidence/source</t>
  </si>
  <si>
    <t>text.contains,text.not_contains,text.regex,text.empty,text.not_empty</t>
  </si>
  <si>
    <t>hash_sha256</t>
  </si>
  <si>
    <t>SHA-256</t>
  </si>
  <si>
    <t>Content fingerprint</t>
  </si>
  <si>
    <t>8a42...</t>
  </si>
  <si>
    <t>text.equals,text.not_equals,text.starts_with</t>
  </si>
  <si>
    <t>duplicate_group</t>
  </si>
  <si>
    <t>Duplicate Group</t>
  </si>
  <si>
    <t>Hash/similar group ID</t>
  </si>
  <si>
    <t>DUP-0042</t>
  </si>
  <si>
    <t>cat.is,cat.is_not,text.equals</t>
  </si>
  <si>
    <t>path_depth</t>
  </si>
  <si>
    <t>Path Depth</t>
  </si>
  <si>
    <t>Folder nesting depth</t>
  </si>
  <si>
    <t>7</t>
  </si>
  <si>
    <t>num.gt,num.gte,num.lt,num.lte,num.eq,num.between</t>
  </si>
  <si>
    <t>is_hidden</t>
  </si>
  <si>
    <t>Hidden</t>
  </si>
  <si>
    <t>boolean</t>
  </si>
  <si>
    <t>Hidden/system flag</t>
  </si>
  <si>
    <t>bool.true,bool.false</t>
  </si>
  <si>
    <t>is_folder</t>
  </si>
  <si>
    <t>Is Folder</t>
  </si>
  <si>
    <t>folders</t>
  </si>
  <si>
    <t>Object is folder</t>
  </si>
  <si>
    <t>date_created</t>
  </si>
  <si>
    <t>Date Created</t>
  </si>
  <si>
    <t>date</t>
  </si>
  <si>
    <t>Filesystem created date</t>
  </si>
  <si>
    <t>2026-06-23</t>
  </si>
  <si>
    <t>date.before,date.after,date.exactly,date.between,date.last_days,date.older_than_days,date.today,date.yesterday,date.this_month,date.this_year</t>
  </si>
  <si>
    <t>Date Modified</t>
  </si>
  <si>
    <t>Filesystem modified date</t>
  </si>
  <si>
    <t>date_accessed</t>
  </si>
  <si>
    <t>Date Accessed</t>
  </si>
  <si>
    <t>Filesystem accessed date</t>
  </si>
  <si>
    <t>date_scanned</t>
  </si>
  <si>
    <t>Date Scanned</t>
  </si>
  <si>
    <t>FIS</t>
  </si>
  <si>
    <t>Last scanner run date</t>
  </si>
  <si>
    <t>date.before,date.after,date.last_days,date.older_than_days</t>
  </si>
  <si>
    <t>photo_camera_make</t>
  </si>
  <si>
    <t>Photo Camera Make</t>
  </si>
  <si>
    <t>photo/image</t>
  </si>
  <si>
    <t>EXIF camera manufacturer</t>
  </si>
  <si>
    <t>Canon</t>
  </si>
  <si>
    <t>text.contains,text.equals,text.regex</t>
  </si>
  <si>
    <t>photo_camera_model</t>
  </si>
  <si>
    <t>Photo Camera Model</t>
  </si>
  <si>
    <t>EXIF camera model</t>
  </si>
  <si>
    <t>EOS R6</t>
  </si>
  <si>
    <t>photo_lens_model</t>
  </si>
  <si>
    <t>Photo Lens Model</t>
  </si>
  <si>
    <t>EXIF lens</t>
  </si>
  <si>
    <t>RF 24-70</t>
  </si>
  <si>
    <t>photo_aperture</t>
  </si>
  <si>
    <t>Photo Aperture</t>
  </si>
  <si>
    <t>F-number</t>
  </si>
  <si>
    <t>2.8</t>
  </si>
  <si>
    <t>photo_shutter_speed</t>
  </si>
  <si>
    <t>Photo Shutter Speed</t>
  </si>
  <si>
    <t>Exposure time seconds</t>
  </si>
  <si>
    <t>0.0167</t>
  </si>
  <si>
    <t>photo_iso</t>
  </si>
  <si>
    <t>Photo ISO</t>
  </si>
  <si>
    <t>ISO sensitivity</t>
  </si>
  <si>
    <t>800</t>
  </si>
  <si>
    <t>photo_focal_length</t>
  </si>
  <si>
    <t>Photo Focal Length</t>
  </si>
  <si>
    <t>Focal length mm</t>
  </si>
  <si>
    <t>50</t>
  </si>
  <si>
    <t>photo_brightness</t>
  </si>
  <si>
    <t>Photo Brightness</t>
  </si>
  <si>
    <t>Brightness value</t>
  </si>
  <si>
    <t>0.6</t>
  </si>
  <si>
    <t>photo_color_space</t>
  </si>
  <si>
    <t>Photo Color Space</t>
  </si>
  <si>
    <t>sRGB/AdobeRGB/etc.</t>
  </si>
  <si>
    <t>sRGB</t>
  </si>
  <si>
    <t>photo_compression</t>
  </si>
  <si>
    <t>Photo Compression</t>
  </si>
  <si>
    <t>Compression metadata</t>
  </si>
  <si>
    <t>JPEG</t>
  </si>
  <si>
    <t>cat.is,cat.is_not,text.contains</t>
  </si>
  <si>
    <t>photo_date_taken</t>
  </si>
  <si>
    <t>Photo Date Taken</t>
  </si>
  <si>
    <t>EXIF date original</t>
  </si>
  <si>
    <t>date.before,date.after,date.between,date.last_days,date.older_than_days</t>
  </si>
  <si>
    <t>photo_width</t>
  </si>
  <si>
    <t>Photo Width</t>
  </si>
  <si>
    <t>Pixel width</t>
  </si>
  <si>
    <t>1920</t>
  </si>
  <si>
    <t>photo_height</t>
  </si>
  <si>
    <t>Photo Height</t>
  </si>
  <si>
    <t>Pixel height</t>
  </si>
  <si>
    <t>1080</t>
  </si>
  <si>
    <t>photo_gps_exists</t>
  </si>
  <si>
    <t>Photo GPS Exists</t>
  </si>
  <si>
    <t>EXIF GPS present</t>
  </si>
  <si>
    <t>bool.true,bool.false,exists.exists,exists.missing</t>
  </si>
  <si>
    <t>audio_duration</t>
  </si>
  <si>
    <t>Audio Duration</t>
  </si>
  <si>
    <t>audio/video</t>
  </si>
  <si>
    <t>Seconds</t>
  </si>
  <si>
    <t>3600</t>
  </si>
  <si>
    <t>audio_artist</t>
  </si>
  <si>
    <t>Audio Artist</t>
  </si>
  <si>
    <t>audio</t>
  </si>
  <si>
    <t>ID3 artist</t>
  </si>
  <si>
    <t>David</t>
  </si>
  <si>
    <t>audio_album</t>
  </si>
  <si>
    <t>Audio Album</t>
  </si>
  <si>
    <t>ID3 album</t>
  </si>
  <si>
    <t>Voice Notes</t>
  </si>
  <si>
    <t>audio_bitrate</t>
  </si>
  <si>
    <t>Audio Bitrate</t>
  </si>
  <si>
    <t>kbps</t>
  </si>
  <si>
    <t>128</t>
  </si>
  <si>
    <t>audio_sample_rate</t>
  </si>
  <si>
    <t>Audio Sample Rate</t>
  </si>
  <si>
    <t>Hz</t>
  </si>
  <si>
    <t>44100</t>
  </si>
  <si>
    <t>audio_transcript_exists</t>
  </si>
  <si>
    <t>Audio Transcript Exists</t>
  </si>
  <si>
    <t>Transcript sidecar available</t>
  </si>
  <si>
    <t>video_duration</t>
  </si>
  <si>
    <t>Video Duration</t>
  </si>
  <si>
    <t>video</t>
  </si>
  <si>
    <t>120</t>
  </si>
  <si>
    <t>video_width</t>
  </si>
  <si>
    <t>Video Width</t>
  </si>
  <si>
    <t>video_height</t>
  </si>
  <si>
    <t>Video Height</t>
  </si>
  <si>
    <t>video_codec</t>
  </si>
  <si>
    <t>Video Codec</t>
  </si>
  <si>
    <t>Codec</t>
  </si>
  <si>
    <t>h264</t>
  </si>
  <si>
    <t>doc_title</t>
  </si>
  <si>
    <t>Document Title</t>
  </si>
  <si>
    <t>document</t>
  </si>
  <si>
    <t>Metadata/title</t>
  </si>
  <si>
    <t>The Logos Thesis</t>
  </si>
  <si>
    <t>doc_author</t>
  </si>
  <si>
    <t>Document Author</t>
  </si>
  <si>
    <t>Metadata/author</t>
  </si>
  <si>
    <t>David Lowe</t>
  </si>
  <si>
    <t>doc_page_count</t>
  </si>
  <si>
    <t>Page Count</t>
  </si>
  <si>
    <t>PDF/DOC</t>
  </si>
  <si>
    <t>Pages</t>
  </si>
  <si>
    <t>12</t>
  </si>
  <si>
    <t>doc_word_count</t>
  </si>
  <si>
    <t>Word Count</t>
  </si>
  <si>
    <t>text/doc</t>
  </si>
  <si>
    <t>Words</t>
  </si>
  <si>
    <t>4200</t>
  </si>
  <si>
    <t>doc_claim_count</t>
  </si>
  <si>
    <t>Claim Count</t>
  </si>
  <si>
    <t>Extracted claims</t>
  </si>
  <si>
    <t>17</t>
  </si>
  <si>
    <t>doc_evidence_density</t>
  </si>
  <si>
    <t>Evidence Density</t>
  </si>
  <si>
    <t>0-100 scanner score</t>
  </si>
  <si>
    <t>62.5</t>
  </si>
  <si>
    <t>doc_overclaim_risk</t>
  </si>
  <si>
    <t>Overclaim Risk</t>
  </si>
  <si>
    <t>0-100 risk score</t>
  </si>
  <si>
    <t>45</t>
  </si>
  <si>
    <t>chi_primary</t>
  </si>
  <si>
    <t>χ Primary</t>
  </si>
  <si>
    <t>FIS/Theophysics</t>
  </si>
  <si>
    <t>Primary Master Equation variable</t>
  </si>
  <si>
    <t>E</t>
  </si>
  <si>
    <t>domain_primary</t>
  </si>
  <si>
    <t>Domain Primary</t>
  </si>
  <si>
    <t>Primary content domain</t>
  </si>
  <si>
    <t>physics</t>
  </si>
  <si>
    <t>law_primary</t>
  </si>
  <si>
    <t>Law Primary</t>
  </si>
  <si>
    <t>Primary Ten Law hit</t>
  </si>
  <si>
    <t>L10</t>
  </si>
  <si>
    <t>what_score</t>
  </si>
  <si>
    <t>WHAT Score</t>
  </si>
  <si>
    <t>claim/page</t>
  </si>
  <si>
    <t>Claim jurisdiction score</t>
  </si>
  <si>
    <t>34.6</t>
  </si>
  <si>
    <t>how_score</t>
  </si>
  <si>
    <t>HOW Score</t>
  </si>
  <si>
    <t>29.2</t>
  </si>
  <si>
    <t>why_score</t>
  </si>
  <si>
    <t>WHY Score</t>
  </si>
  <si>
    <t>36.2</t>
  </si>
  <si>
    <t>sidecar_exists</t>
  </si>
  <si>
    <t>.chi Exists</t>
  </si>
  <si>
    <t>Sidecar file exists</t>
  </si>
  <si>
    <t>sidecar_stale</t>
  </si>
  <si>
    <t>.chi Stale</t>
  </si>
  <si>
    <t>Sidecar hash older than source</t>
  </si>
  <si>
    <t>risk_score</t>
  </si>
  <si>
    <t>Risk Score</t>
  </si>
  <si>
    <t>0-100 danger score</t>
  </si>
  <si>
    <t>82</t>
  </si>
  <si>
    <t>protected_flag</t>
  </si>
  <si>
    <t>Protected Flag</t>
  </si>
  <si>
    <t>Do-not-touch classification</t>
  </si>
  <si>
    <t>project_root_flag</t>
  </si>
  <si>
    <t>Project Root Flag</t>
  </si>
  <si>
    <t>Detected project/program root</t>
  </si>
  <si>
    <t>Operators Registry</t>
  </si>
  <si>
    <t>Canonical operator list by data type. Use labels in the UI; operator_id is what code should read.</t>
  </si>
  <si>
    <t>operator_id</t>
  </si>
  <si>
    <t>label</t>
  </si>
  <si>
    <t>text.contains</t>
  </si>
  <si>
    <t>case-insensitive substring match</t>
  </si>
  <si>
    <t>name contains invoice</t>
  </si>
  <si>
    <t>text.not_contains</t>
  </si>
  <si>
    <t>not_contains</t>
  </si>
  <si>
    <t>negative substring match</t>
  </si>
  <si>
    <t>path not_contains archive</t>
  </si>
  <si>
    <t>text.starts_with</t>
  </si>
  <si>
    <t>starts_with</t>
  </si>
  <si>
    <t>begins with string</t>
  </si>
  <si>
    <t>name starts_with TP__</t>
  </si>
  <si>
    <t>text.ends_with</t>
  </si>
  <si>
    <t>ends_with</t>
  </si>
  <si>
    <t>ends with string</t>
  </si>
  <si>
    <t>name ends_with .backup</t>
  </si>
  <si>
    <t>text.equals</t>
  </si>
  <si>
    <t>equals</t>
  </si>
  <si>
    <t>exact match</t>
  </si>
  <si>
    <t>tag equals canonical</t>
  </si>
  <si>
    <t>text.not_equals</t>
  </si>
  <si>
    <t>not_equals</t>
  </si>
  <si>
    <t>not exact match</t>
  </si>
  <si>
    <t>folder not_equals Windows</t>
  </si>
  <si>
    <t>text.regex</t>
  </si>
  <si>
    <t>regular expression</t>
  </si>
  <si>
    <t>name regex (?i)final|draft</t>
  </si>
  <si>
    <t>text.empty</t>
  </si>
  <si>
    <t>empty</t>
  </si>
  <si>
    <t>empty value</t>
  </si>
  <si>
    <t>tag empty</t>
  </si>
  <si>
    <t>text.not_empty</t>
  </si>
  <si>
    <t>not_empty</t>
  </si>
  <si>
    <t>has any value</t>
  </si>
  <si>
    <t>content not_empty</t>
  </si>
  <si>
    <t>cat.is</t>
  </si>
  <si>
    <t>exact category match</t>
  </si>
  <si>
    <t>type is image</t>
  </si>
  <si>
    <t>cat.is_not</t>
  </si>
  <si>
    <t>is_not</t>
  </si>
  <si>
    <t>not category</t>
  </si>
  <si>
    <t>risk_class is_not protected</t>
  </si>
  <si>
    <t>cat.in</t>
  </si>
  <si>
    <t>in</t>
  </si>
  <si>
    <t>one of a list</t>
  </si>
  <si>
    <t>extension in .pdf,.docx</t>
  </si>
  <si>
    <t>cat.not_in</t>
  </si>
  <si>
    <t>not_in</t>
  </si>
  <si>
    <t>not in list</t>
  </si>
  <si>
    <t>type not_in system,program</t>
  </si>
  <si>
    <t>num.gt</t>
  </si>
  <si>
    <t>gt</t>
  </si>
  <si>
    <t>greater than</t>
  </si>
  <si>
    <t>size_mb gt 500</t>
  </si>
  <si>
    <t>num.gte</t>
  </si>
  <si>
    <t>gte</t>
  </si>
  <si>
    <t>greater or equal</t>
  </si>
  <si>
    <t>confidence gte 85</t>
  </si>
  <si>
    <t>num.lt</t>
  </si>
  <si>
    <t>lt</t>
  </si>
  <si>
    <t>less than</t>
  </si>
  <si>
    <t>risk_score lt 20</t>
  </si>
  <si>
    <t>num.lte</t>
  </si>
  <si>
    <t>lte</t>
  </si>
  <si>
    <t>less or equal</t>
  </si>
  <si>
    <t>path_depth lte 5</t>
  </si>
  <si>
    <t>num.eq</t>
  </si>
  <si>
    <t>eq</t>
  </si>
  <si>
    <t>duplicate_count eq 1</t>
  </si>
  <si>
    <t>num.neq</t>
  </si>
  <si>
    <t>neq</t>
  </si>
  <si>
    <t>not equal</t>
  </si>
  <si>
    <t>page_count neq 0</t>
  </si>
  <si>
    <t>num.between</t>
  </si>
  <si>
    <t>between</t>
  </si>
  <si>
    <t>between low and high</t>
  </si>
  <si>
    <t>size_mb between 5,100</t>
  </si>
  <si>
    <t>date.before</t>
  </si>
  <si>
    <t>before</t>
  </si>
  <si>
    <t>date is before</t>
  </si>
  <si>
    <t>modified before 2021-01-01</t>
  </si>
  <si>
    <t>date.after</t>
  </si>
  <si>
    <t>after</t>
  </si>
  <si>
    <t>date is after</t>
  </si>
  <si>
    <t>created after 2024-01-01</t>
  </si>
  <si>
    <t>date.exactly</t>
  </si>
  <si>
    <t>exactly</t>
  </si>
  <si>
    <t>exact date</t>
  </si>
  <si>
    <t>date_taken exactly 2026-06-23</t>
  </si>
  <si>
    <t>date.between</t>
  </si>
  <si>
    <t>between two dates</t>
  </si>
  <si>
    <t>modified between 2023-01-01,2024-01-01</t>
  </si>
  <si>
    <t>date.last_days</t>
  </si>
  <si>
    <t>last_days</t>
  </si>
  <si>
    <t>within last N days</t>
  </si>
  <si>
    <t>modified last_days 30</t>
  </si>
  <si>
    <t>date.older_than_days</t>
  </si>
  <si>
    <t>older than N days</t>
  </si>
  <si>
    <t>accessed older_than_days 365</t>
  </si>
  <si>
    <t>date.today</t>
  </si>
  <si>
    <t>today</t>
  </si>
  <si>
    <t>created today</t>
  </si>
  <si>
    <t>date.yesterday</t>
  </si>
  <si>
    <t>yesterday</t>
  </si>
  <si>
    <t>modified yesterday</t>
  </si>
  <si>
    <t>date.this_week</t>
  </si>
  <si>
    <t>this_week</t>
  </si>
  <si>
    <t>current week</t>
  </si>
  <si>
    <t>modified this_week</t>
  </si>
  <si>
    <t>date.this_month</t>
  </si>
  <si>
    <t>this_month</t>
  </si>
  <si>
    <t>current month</t>
  </si>
  <si>
    <t>created this_month</t>
  </si>
  <si>
    <t>date.this_year</t>
  </si>
  <si>
    <t>this_year</t>
  </si>
  <si>
    <t>current year</t>
  </si>
  <si>
    <t>modified this_year</t>
  </si>
  <si>
    <t>bool.true</t>
  </si>
  <si>
    <t>is_true</t>
  </si>
  <si>
    <t>boolean true</t>
  </si>
  <si>
    <t>sidecar_exists is_true</t>
  </si>
  <si>
    <t>bool.false</t>
  </si>
  <si>
    <t>is_false</t>
  </si>
  <si>
    <t>boolean false</t>
  </si>
  <si>
    <t>protected is_false</t>
  </si>
  <si>
    <t>exists.exists</t>
  </si>
  <si>
    <t>exists</t>
  </si>
  <si>
    <t>value/file/metadata exists</t>
  </si>
  <si>
    <t>gps exists</t>
  </si>
  <si>
    <t>exists.missing</t>
  </si>
  <si>
    <t>missing</t>
  </si>
  <si>
    <t>value/file/metadata missing</t>
  </si>
  <si>
    <t>sidecar missing</t>
  </si>
  <si>
    <t>Actions Master Registry</t>
  </si>
  <si>
    <t>Every action the File Intelligence System can propose or execute, with safety defaults.</t>
  </si>
  <si>
    <t>action_id</t>
  </si>
  <si>
    <t>action_name</t>
  </si>
  <si>
    <t>action_family</t>
  </si>
  <si>
    <t>destructive_level</t>
  </si>
  <si>
    <t>requires_preview</t>
  </si>
  <si>
    <t>requires_approval</t>
  </si>
  <si>
    <t>writes_ledger</t>
  </si>
  <si>
    <t>rollback_possible</t>
  </si>
  <si>
    <t>default_safety</t>
  </si>
  <si>
    <t>best_view_modes</t>
  </si>
  <si>
    <t>scan</t>
  </si>
  <si>
    <t>Scan</t>
  </si>
  <si>
    <t>Inventory files/folders without modifying anything</t>
  </si>
  <si>
    <t>none</t>
  </si>
  <si>
    <t>No</t>
  </si>
  <si>
    <t>Yes</t>
  </si>
  <si>
    <t>N/A</t>
  </si>
  <si>
    <t>single pane;tree;details</t>
  </si>
  <si>
    <t>build_cache</t>
  </si>
  <si>
    <t>Build Memory / Cache</t>
  </si>
  <si>
    <t>Write file inventory, hashes, and basic features to SQLite</t>
  </si>
  <si>
    <t>Classify</t>
  </si>
  <si>
    <t>Assign type, role, domain, route candidates, and confidence</t>
  </si>
  <si>
    <t>details;grouped</t>
  </si>
  <si>
    <t>Detect Symptoms</t>
  </si>
  <si>
    <t>Detect folder/file pathologies and risks</t>
  </si>
  <si>
    <t>grouped;dashboard</t>
  </si>
  <si>
    <t>Apply tags to sidecar/DB without moving files</t>
  </si>
  <si>
    <t>low</t>
  </si>
  <si>
    <t>Optional</t>
  </si>
  <si>
    <t>suggest_only</t>
  </si>
  <si>
    <t>rename</t>
  </si>
  <si>
    <t>Rename</t>
  </si>
  <si>
    <t>Change filename or folder name</t>
  </si>
  <si>
    <t>medium</t>
  </si>
  <si>
    <t>details;preview</t>
  </si>
  <si>
    <t>Move</t>
  </si>
  <si>
    <t>Move files/folders to a target path</t>
  </si>
  <si>
    <t>Partial</t>
  </si>
  <si>
    <t>dual pane;tree;preview</t>
  </si>
  <si>
    <t>copy</t>
  </si>
  <si>
    <t>Copy</t>
  </si>
  <si>
    <t>Copy files/folders while preserving originals</t>
  </si>
  <si>
    <t>Archive</t>
  </si>
  <si>
    <t>Move/copy inactive files to dated archive lane</t>
  </si>
  <si>
    <t>tree;preview</t>
  </si>
  <si>
    <t>delete_later</t>
  </si>
  <si>
    <t>Delete Later</t>
  </si>
  <si>
    <t>Move to quarantine/delete-later review lane; never direct delete</t>
  </si>
  <si>
    <t>high</t>
  </si>
  <si>
    <t>review queue;preview</t>
  </si>
  <si>
    <t>quarantine</t>
  </si>
  <si>
    <t>Quarantine</t>
  </si>
  <si>
    <t>Isolate suspicious/private/unknown files from public or working zones</t>
  </si>
  <si>
    <t>review queue</t>
  </si>
  <si>
    <t>Protect / Do Not Touch</t>
  </si>
  <si>
    <t>Mark files/folders as blocked from automation</t>
  </si>
  <si>
    <t>details;guardrail</t>
  </si>
  <si>
    <t>hash</t>
  </si>
  <si>
    <t>Hash</t>
  </si>
  <si>
    <t>Calculate SHA-256/MD5 for duplicate and integrity checks</t>
  </si>
  <si>
    <t>compare</t>
  </si>
  <si>
    <t>Compare</t>
  </si>
  <si>
    <t>Compare folders/files by path/hash/content</t>
  </si>
  <si>
    <t>dual pane;compare</t>
  </si>
  <si>
    <t>dedupe</t>
  </si>
  <si>
    <t>Deduplicate</t>
  </si>
  <si>
    <t>Group exact/near duplicates and suggest keepers</t>
  </si>
  <si>
    <t>compare;review queue</t>
  </si>
  <si>
    <t>create_folder</t>
  </si>
  <si>
    <t>Create Folder</t>
  </si>
  <si>
    <t>Create folder(s) from outline or template</t>
  </si>
  <si>
    <t>tree;outline</t>
  </si>
  <si>
    <t>create_blank_file</t>
  </si>
  <si>
    <t>Create Blank File</t>
  </si>
  <si>
    <t>Create placeholder files from outline/template</t>
  </si>
  <si>
    <t>outline</t>
  </si>
  <si>
    <t>create_sidecar</t>
  </si>
  <si>
    <t>Create .chi Sidecar</t>
  </si>
  <si>
    <t>Generate readable sidecar profile</t>
  </si>
  <si>
    <t>update_sidecar</t>
  </si>
  <si>
    <t>Update .chi Sidecar</t>
  </si>
  <si>
    <t>Refresh stale sidecar after source changes</t>
  </si>
  <si>
    <t>ocr</t>
  </si>
  <si>
    <t>OCR</t>
  </si>
  <si>
    <t>Extract text from images/PDF scans</t>
  </si>
  <si>
    <t>preview</t>
  </si>
  <si>
    <t>transcribe</t>
  </si>
  <si>
    <t>Transcribe</t>
  </si>
  <si>
    <t>Create text transcript for audio/video</t>
  </si>
  <si>
    <t>summarize</t>
  </si>
  <si>
    <t>Summarize</t>
  </si>
  <si>
    <t>Create local summary/abstract/keywords</t>
  </si>
  <si>
    <t>link_hub</t>
  </si>
  <si>
    <t>Link / Hub</t>
  </si>
  <si>
    <t>Create manifest, shortcut, hub page, or link without merging files</t>
  </si>
  <si>
    <t>tree;graph</t>
  </si>
  <si>
    <t>sync</t>
  </si>
  <si>
    <t>Sync</t>
  </si>
  <si>
    <t>Synchronize across mirrors/cloud after compare</t>
  </si>
  <si>
    <t>backup</t>
  </si>
  <si>
    <t>Backup</t>
  </si>
  <si>
    <t>Copy protected set to backup target and verify</t>
  </si>
  <si>
    <t>dual pane;report</t>
  </si>
  <si>
    <t>restore</t>
  </si>
  <si>
    <t>Restore</t>
  </si>
  <si>
    <t>Restore file from ledger/quarantine/backup</t>
  </si>
  <si>
    <t>ledger</t>
  </si>
  <si>
    <t>publish</t>
  </si>
  <si>
    <t>Publish</t>
  </si>
  <si>
    <t>Move/copy approved public files to site/reviewer portal</t>
  </si>
  <si>
    <t>unpublish</t>
  </si>
  <si>
    <t>Unpublish</t>
  </si>
  <si>
    <t>Remove from public/reviewer surface without deleting source</t>
  </si>
  <si>
    <t>run_script</t>
  </si>
  <si>
    <t>Run Script</t>
  </si>
  <si>
    <t>Run external script against approved file set</t>
  </si>
  <si>
    <t>critical</t>
  </si>
  <si>
    <t>Depends</t>
  </si>
  <si>
    <t>terminal;report</t>
  </si>
  <si>
    <t>notify</t>
  </si>
  <si>
    <t>Notify</t>
  </si>
  <si>
    <t>Send UI/email/report notification</t>
  </si>
  <si>
    <t>dashboard</t>
  </si>
  <si>
    <t>schedule</t>
  </si>
  <si>
    <t>Schedule</t>
  </si>
  <si>
    <t>Create repeatable task/watch rule</t>
  </si>
  <si>
    <t>settings</t>
  </si>
  <si>
    <t>report</t>
  </si>
  <si>
    <t>Report</t>
  </si>
  <si>
    <t>Generate consulting report, CSVs, risk register, appendix</t>
  </si>
  <si>
    <t>dashboard;report</t>
  </si>
  <si>
    <t>Action Map</t>
  </si>
  <si>
    <t>High-level mental model: every button belongs inside a stage. Use this to keep the UI intuitive while retaining advanced power.</t>
  </si>
  <si>
    <t>SCOPE / SETUP</t>
  </si>
  <si>
    <t>LOOK</t>
  </si>
  <si>
    <t>UNDERSTAND</t>
  </si>
  <si>
    <t>DESIGN</t>
  </si>
  <si>
    <t>ACT</t>
  </si>
  <si>
    <t>GOVERN</t>
  </si>
  <si>
    <t>Scope Interview</t>
  </si>
  <si>
    <t>review</t>
  </si>
  <si>
    <t>Allowed Roots</t>
  </si>
  <si>
    <t>Protected Items</t>
  </si>
  <si>
    <t>Safety Mode</t>
  </si>
  <si>
    <t>workflow_template</t>
  </si>
  <si>
    <t>Business/Personal Map</t>
  </si>
  <si>
    <t>family</t>
  </si>
  <si>
    <t>destructive</t>
  </si>
  <si>
    <t>approval</t>
  </si>
  <si>
    <t>rollback</t>
  </si>
  <si>
    <t>best_views</t>
  </si>
  <si>
    <t>Action Sequence Matrix</t>
  </si>
  <si>
    <t>Each action has a safe sequence. This is the bridge between UI buttons and backend execution.</t>
  </si>
  <si>
    <t>action_sheet</t>
  </si>
  <si>
    <t>title</t>
  </si>
  <si>
    <t>step_1</t>
  </si>
  <si>
    <t>step_2</t>
  </si>
  <si>
    <t>step_3</t>
  </si>
  <si>
    <t>step_4</t>
  </si>
  <si>
    <t>step_5</t>
  </si>
  <si>
    <t>default_guardrail</t>
  </si>
  <si>
    <t>LOOK_SCAN</t>
  </si>
  <si>
    <t>Look / Scan</t>
  </si>
  <si>
    <t>Choose allowed roots | user-selected folders only</t>
  </si>
  <si>
    <t>Inventory files/folders | path/type/size/date</t>
  </si>
  <si>
    <t>Hash critical candidates | optional/threshold</t>
  </si>
  <si>
    <t>Detect basic risks | project roots/secrets/system</t>
  </si>
  <si>
    <t>Report scan summary | counts and unknowns</t>
  </si>
  <si>
    <t>GR-005/GR-006</t>
  </si>
  <si>
    <t>Build read-only inventory and memory before any action.</t>
  </si>
  <si>
    <t>CLASSIFY</t>
  </si>
  <si>
    <t>Understand / Classify</t>
  </si>
  <si>
    <t>Read inventory | from scan cache</t>
  </si>
  <si>
    <t>Apply deterministic labels | extension/MIME/name/path/content</t>
  </si>
  <si>
    <t>Vote across signals | weighted family/role scores</t>
  </si>
  <si>
    <t>Queue unknowns | unknown tokens/extensions</t>
  </si>
  <si>
    <t>Write classifications | SQLite + sidecar candidates</t>
  </si>
  <si>
    <t>Assign type, role, domain, destination candidates, and confidence.</t>
  </si>
  <si>
    <t>TAG</t>
  </si>
  <si>
    <t>Tag / Metadata</t>
  </si>
  <si>
    <t>Select file set | rules/query</t>
  </si>
  <si>
    <t>Preview tags | domain/role/status/risk</t>
  </si>
  <si>
    <t>Approval optional | low-risk metadata</t>
  </si>
  <si>
    <t>Write tags | SQLite/.chi</t>
  </si>
  <si>
    <t>Ledger | tag before/after</t>
  </si>
  <si>
    <t>Apply safe metadata or sidecar tags without moving files.</t>
  </si>
  <si>
    <t>RENAME</t>
  </si>
  <si>
    <t>Select candidates | name rot/low-risk loose files</t>
  </si>
  <si>
    <t>Generate proposed names | schema/template/markov suggestions</t>
  </si>
  <si>
    <t>Validate collisions | target names unique</t>
  </si>
  <si>
    <t>Approve rename | row-level approval</t>
  </si>
  <si>
    <t>Execute + ledger | before/after path</t>
  </si>
  <si>
    <t>Suggest and apply safer names only after preview.</t>
  </si>
  <si>
    <t>MOVE</t>
  </si>
  <si>
    <t>Select matched set | query/symptom/workflow</t>
  </si>
  <si>
    <t>Score destinations | where candidates + rival margin</t>
  </si>
  <si>
    <t>Preview before/after | exact old/new paths</t>
  </si>
  <si>
    <t>Approval | row or batch approval</t>
  </si>
  <si>
    <t>Execute/verify | move and verify hash/path</t>
  </si>
  <si>
    <t>Move files/folders to better home with preview and rollback trail.</t>
  </si>
  <si>
    <t>COPY</t>
  </si>
  <si>
    <t>Choose target | backup/review/archive</t>
  </si>
  <si>
    <t>Preview copy | old/new paths</t>
  </si>
  <si>
    <t>Execute copy | copy files/metadata/sidecars</t>
  </si>
  <si>
    <t>Ledger/report | before/after + verification</t>
  </si>
  <si>
    <t>Copy files/folders safely, often before move/archive/delete-later.</t>
  </si>
  <si>
    <t>ARCHIVE</t>
  </si>
  <si>
    <t>Identify inactive set | age/status/folder role</t>
  </si>
  <si>
    <t>Choose archive lane | date/project/domain</t>
  </si>
  <si>
    <t>Preview archive | exact paths</t>
  </si>
  <si>
    <t>Execute archive | move/copy + manifest</t>
  </si>
  <si>
    <t>Generate archive report | summary + manifest</t>
  </si>
  <si>
    <t>Move/copy inactive material to dated archive with manifest.</t>
  </si>
  <si>
    <t>DELETE_LATER</t>
  </si>
  <si>
    <t>Delete Later / Quarantine</t>
  </si>
  <si>
    <t>Select candidates | duplicates/temp/debris</t>
  </si>
  <si>
    <t>Confirm keeper/protection | duplicates only after compare</t>
  </si>
  <si>
    <t>Move to delete-later | quarantine folder</t>
  </si>
  <si>
    <t>Hold period | minimum days</t>
  </si>
  <si>
    <t>Final review/report | manual decision later</t>
  </si>
  <si>
    <t>Never delete directly; move candidates into review/quarantine with hold period.</t>
  </si>
  <si>
    <t>PROTECT</t>
  </si>
  <si>
    <t>Detect protected patterns | system/project/secrets/client/tax</t>
  </si>
  <si>
    <t>Confirm protection | auto for critical, review for high</t>
  </si>
  <si>
    <t>Write protected flag | SQLite/.chi</t>
  </si>
  <si>
    <t>Block incompatible actions | guardrail matrix</t>
  </si>
  <si>
    <t>Report protected items | risk register</t>
  </si>
  <si>
    <t>Mark objects as blocked from dangerous automation.</t>
  </si>
  <si>
    <t>COMPARE_DEDUPE</t>
  </si>
  <si>
    <t>Compare / Deduplicate</t>
  </si>
  <si>
    <t>Hash candidates | exact hash groups</t>
  </si>
  <si>
    <t>Compare near duplicates | name/size/date/content</t>
  </si>
  <si>
    <t>Select keeper candidate | newest/original/path/manual</t>
  </si>
  <si>
    <t>Preview delete-later/archive | no direct delete</t>
  </si>
  <si>
    <t>Ledger/report | duplicate group evidence</t>
  </si>
  <si>
    <t>Find duplicate/mirror/version issues without unsafe deletion.</t>
  </si>
  <si>
    <t>SIDECAR</t>
  </si>
  <si>
    <t>.chi Sidecar</t>
  </si>
  <si>
    <t>Detect missing/stale sidecars | source vs .chi</t>
  </si>
  <si>
    <t>Build profile | role/domain/risk/evidence</t>
  </si>
  <si>
    <t>Preview sidecar | human-readable record</t>
  </si>
  <si>
    <t>Write sidecar | markdown-compatible .chi</t>
  </si>
  <si>
    <t>Update DB | sidecar hash/time</t>
  </si>
  <si>
    <t>Create/update file intelligence records beside source files.</t>
  </si>
  <si>
    <t>REPORT</t>
  </si>
  <si>
    <t>Collect scan/classification data | SQLite</t>
  </si>
  <si>
    <t>Summarize corpus | counts/types/domains</t>
  </si>
  <si>
    <t>List symptoms/risks/unknowns | evidence examples</t>
  </si>
  <si>
    <t>Create action preview | proposed_actions.csv</t>
  </si>
  <si>
    <t>Export report package | HTML/PDF/CSV</t>
  </si>
  <si>
    <t>Generate executive and technical reports before action.</t>
  </si>
  <si>
    <t>AUTOMATION</t>
  </si>
  <si>
    <t>Automation / Watch Rules</t>
  </si>
  <si>
    <t>Choose trigger | manual/watch/schedule/event</t>
  </si>
  <si>
    <t>Attach selection rules | field/operator/value</t>
  </si>
  <si>
    <t>Attach action sequence | allowed compatibility only</t>
  </si>
  <si>
    <t>Approval mode | preview/suggest/execute after approval</t>
  </si>
  <si>
    <t>Record automation | disabled by default until approved</t>
  </si>
  <si>
    <t>Create repeatable rules that suggest or execute only within guardrails.</t>
  </si>
  <si>
    <t>ANALYZE_EXTRACT</t>
  </si>
  <si>
    <t>Analyze / OCR / Transcribe</t>
  </si>
  <si>
    <t>Select extractable files | PDF/image/audio/video</t>
  </si>
  <si>
    <t>Choose extractor | OCR/transcribe/text parse</t>
  </si>
  <si>
    <t>Preview cost/privacy | API/local choice</t>
  </si>
  <si>
    <t>Run extraction | generate text sidecar</t>
  </si>
  <si>
    <t>Reclassify/report | content signals improve</t>
  </si>
  <si>
    <t>Extract text and metadata to improve classification.</t>
  </si>
  <si>
    <t>View Modes / Layout Registry</t>
  </si>
  <si>
    <t>Single-pane, dual-pane, flat, grouped, tree, thumbnail, compare, review queue, and other display modes.</t>
  </si>
  <si>
    <t>view_id</t>
  </si>
  <si>
    <t>view_name</t>
  </si>
  <si>
    <t>best_for</t>
  </si>
  <si>
    <t>supports_preview</t>
  </si>
  <si>
    <t>supports_compare</t>
  </si>
  <si>
    <t>risk</t>
  </si>
  <si>
    <t>single_pane</t>
  </si>
  <si>
    <t>Single Pane</t>
  </si>
  <si>
    <t>Simple browsing and review</t>
  </si>
  <si>
    <t>Low</t>
  </si>
  <si>
    <t>Works for lightweight inspection.</t>
  </si>
  <si>
    <t>dual_pane</t>
  </si>
  <si>
    <t>Dual Pane</t>
  </si>
  <si>
    <t>Copy/move/compare source and target</t>
  </si>
  <si>
    <t>Medium</t>
  </si>
  <si>
    <t>Recommended for move/copy/sync.</t>
  </si>
  <si>
    <t>horizontal_split</t>
  </si>
  <si>
    <t>Horizontal Split</t>
  </si>
  <si>
    <t>Compare source above target</t>
  </si>
  <si>
    <t>Good on widescreen dashboards.</t>
  </si>
  <si>
    <t>vertical_split</t>
  </si>
  <si>
    <t>Vertical Split</t>
  </si>
  <si>
    <t>Traditional two-panel file manager</t>
  </si>
  <si>
    <t>Good for copy/move/compare.</t>
  </si>
  <si>
    <t>flat</t>
  </si>
  <si>
    <t>Flat View</t>
  </si>
  <si>
    <t>All files in one list, no folders</t>
  </si>
  <si>
    <t>Great for bulk rename/sort.</t>
  </si>
  <si>
    <t>Grouped View</t>
  </si>
  <si>
    <t>Cluster by extension/domain/symptom</t>
  </si>
  <si>
    <t>Best for diagnosis.</t>
  </si>
  <si>
    <t>tree</t>
  </si>
  <si>
    <t>Folder Tree</t>
  </si>
  <si>
    <t>Folder hierarchy and scaffolding</t>
  </si>
  <si>
    <t>Best for structure planning.</t>
  </si>
  <si>
    <t>Thumbnail View</t>
  </si>
  <si>
    <t>Images/video visual sorting</t>
  </si>
  <si>
    <t>Best for pictures and assets.</t>
  </si>
  <si>
    <t>Details Table</t>
  </si>
  <si>
    <t>Metadata-rich decisions</t>
  </si>
  <si>
    <t>Best default for rule preview.</t>
  </si>
  <si>
    <t>metadata</t>
  </si>
  <si>
    <t>Metadata Pane</t>
  </si>
  <si>
    <t>Inspect EXIF/PDF/audio tags</t>
  </si>
  <si>
    <t>Used beside details/preview.</t>
  </si>
  <si>
    <t>Preview Pane</t>
  </si>
  <si>
    <t>View content before action</t>
  </si>
  <si>
    <t>Required for ambiguous files.</t>
  </si>
  <si>
    <t>Compare View</t>
  </si>
  <si>
    <t>Duplicate/mirror drift compare</t>
  </si>
  <si>
    <t>Supports hash/size/date diffs.</t>
  </si>
  <si>
    <t>review_queue</t>
  </si>
  <si>
    <t>Review Queue</t>
  </si>
  <si>
    <t>Approval/rejection workflow</t>
  </si>
  <si>
    <t>Core to learning loop.</t>
  </si>
  <si>
    <t>Outline Builder</t>
  </si>
  <si>
    <t>Create folders/files from indented text</t>
  </si>
  <si>
    <t>Your arrow-key scaffold idea.</t>
  </si>
  <si>
    <t>Dashboard</t>
  </si>
  <si>
    <t>Report/diagnosis overview</t>
  </si>
  <si>
    <t>Executive view.</t>
  </si>
  <si>
    <t>terminal</t>
  </si>
  <si>
    <t>Terminal/Log View</t>
  </si>
  <si>
    <t>Script output and errors</t>
  </si>
  <si>
    <t>High</t>
  </si>
  <si>
    <t>Required for scripts.</t>
  </si>
  <si>
    <t>graph</t>
  </si>
  <si>
    <t>Graph/Hub View</t>
  </si>
  <si>
    <t>Related files and manifests</t>
  </si>
  <si>
    <t>Link/hub workflows.</t>
  </si>
  <si>
    <t>Settings</t>
  </si>
  <si>
    <t>Thresholds and automation controls</t>
  </si>
  <si>
    <t>Governance and learned preferences.</t>
  </si>
  <si>
    <t>Guardrail Grammar</t>
  </si>
  <si>
    <t>Non-negotiable safety rules. These are not filters; they block unsafe automation.</t>
  </si>
  <si>
    <t>guardrail_id</t>
  </si>
  <si>
    <t>severity</t>
  </si>
  <si>
    <t>default_behavior</t>
  </si>
  <si>
    <t>GR-001</t>
  </si>
  <si>
    <t>Never touch system folders</t>
  </si>
  <si>
    <t>Blocks Windows, Program Files, ProgramData, AppData unless explicitly whitelisted.</t>
  </si>
  <si>
    <t>all destructive actions</t>
  </si>
  <si>
    <t>GR-002</t>
  </si>
  <si>
    <t>Never delete directly</t>
  </si>
  <si>
    <t>Deletion always routes to delete-later quarantine with hold period.</t>
  </si>
  <si>
    <t>delete/delete_later</t>
  </si>
  <si>
    <t>enforced</t>
  </si>
  <si>
    <t>GR-003</t>
  </si>
  <si>
    <t>Protect project roots</t>
  </si>
  <si>
    <t>Detect .git, package.json, node_modules, venv, lockfiles, solution/project files.</t>
  </si>
  <si>
    <t>move/rename/delete/archive</t>
  </si>
  <si>
    <t>review_required</t>
  </si>
  <si>
    <t>Protect secrets/config</t>
  </si>
  <si>
    <t>.env, keys, tokens, credentials, config DBs never auto-publish/move/delete.</t>
  </si>
  <si>
    <t>all public/destructive actions</t>
  </si>
  <si>
    <t>Write ledger for every action</t>
  </si>
  <si>
    <t>Before/after path, hash, confidence, user decision, timestamp.</t>
  </si>
  <si>
    <t>all actions</t>
  </si>
  <si>
    <t>required</t>
  </si>
  <si>
    <t>Preview before action</t>
  </si>
  <si>
    <t>Show exact before/after plan before execution.</t>
  </si>
  <si>
    <t>move/copy/rename/archive/delete_later</t>
  </si>
  <si>
    <t>GR-007</t>
  </si>
  <si>
    <t>Confidence gate</t>
  </si>
  <si>
    <t>Below review threshold = review only; above auto threshold = still block if risky.</t>
  </si>
  <si>
    <t>classify/routing</t>
  </si>
  <si>
    <t>GR-008</t>
  </si>
  <si>
    <t>Hash before duplicate decisions</t>
  </si>
  <si>
    <t>No duplicate keeper/delete-later decision without hash or content check.</t>
  </si>
  <si>
    <t>dedupe/delete_later</t>
  </si>
  <si>
    <t>GR-009</t>
  </si>
  <si>
    <t>Protect public/private boundary</t>
  </si>
  <si>
    <t>Never publish private/source/client/credential files.</t>
  </si>
  <si>
    <t>publish/sync</t>
  </si>
  <si>
    <t>GR-010</t>
  </si>
  <si>
    <t>Max files per run</t>
  </si>
  <si>
    <t>Automation stops if file count exceeds threshold unless user overrides.</t>
  </si>
  <si>
    <t>automation</t>
  </si>
  <si>
    <t>GR-011</t>
  </si>
  <si>
    <t>Rollback plan required</t>
  </si>
  <si>
    <t>Move/rename/archive must write rollback rows before execution.</t>
  </si>
  <si>
    <t>move/rename/archive</t>
  </si>
  <si>
    <t>GR-012</t>
  </si>
  <si>
    <t>Skip low-confidence actions</t>
  </si>
  <si>
    <t>Actions on low-confidence files become suggestions only.</t>
  </si>
  <si>
    <t>Automation Triggers</t>
  </si>
  <si>
    <t>Events that can launch a rule. Triggers never execute alone; they require selection, guardrails, preview, approval, and ledger.</t>
  </si>
  <si>
    <t>trigger_id</t>
  </si>
  <si>
    <t>trigger_name</t>
  </si>
  <si>
    <t>event_source</t>
  </si>
  <si>
    <t>allowed_actions</t>
  </si>
  <si>
    <t>requires_guardrails</t>
  </si>
  <si>
    <t>manual_run</t>
  </si>
  <si>
    <t>Manual Run</t>
  </si>
  <si>
    <t>user</t>
  </si>
  <si>
    <t>any</t>
  </si>
  <si>
    <t>User starts a scan/workflow.</t>
  </si>
  <si>
    <t>folder_watch</t>
  </si>
  <si>
    <t>Folder Watch</t>
  </si>
  <si>
    <t>filesystem</t>
  </si>
  <si>
    <t>scan,classify,review</t>
  </si>
  <si>
    <t>New/changed files in watched folder.</t>
  </si>
  <si>
    <t>file_created</t>
  </si>
  <si>
    <t>File Created</t>
  </si>
  <si>
    <t>scan,classify,tag,review</t>
  </si>
  <si>
    <t>New file appears.</t>
  </si>
  <si>
    <t>file_modified</t>
  </si>
  <si>
    <t>File Modified</t>
  </si>
  <si>
    <t>scan,update_sidecar,review</t>
  </si>
  <si>
    <t>Tracked file modified.</t>
  </si>
  <si>
    <t>downloaded</t>
  </si>
  <si>
    <t>Download Detected</t>
  </si>
  <si>
    <t>scan,classify,route</t>
  </si>
  <si>
    <t>New file in Downloads.</t>
  </si>
  <si>
    <t>schedule_daily</t>
  </si>
  <si>
    <t>Daily Schedule</t>
  </si>
  <si>
    <t>clock</t>
  </si>
  <si>
    <t>scan,report</t>
  </si>
  <si>
    <t>Scheduled daily audit.</t>
  </si>
  <si>
    <t>schedule_weekly</t>
  </si>
  <si>
    <t>Weekly Schedule</t>
  </si>
  <si>
    <t>scan,report,review</t>
  </si>
  <si>
    <t>Scheduled weekly cleanup review.</t>
  </si>
  <si>
    <t>sidecar_missing</t>
  </si>
  <si>
    <t>.chi Missing</t>
  </si>
  <si>
    <t>scanner</t>
  </si>
  <si>
    <t>create_sidecar,review</t>
  </si>
  <si>
    <t>Source file has no sidecar.</t>
  </si>
  <si>
    <t>update_sidecar,review</t>
  </si>
  <si>
    <t>Sidecar hash/date behind source.</t>
  </si>
  <si>
    <t>duplicate_detected</t>
  </si>
  <si>
    <t>Duplicate Detected</t>
  </si>
  <si>
    <t>compare,dedupe,review</t>
  </si>
  <si>
    <t>Hash/name/size duplicate group found.</t>
  </si>
  <si>
    <t>unknown_token</t>
  </si>
  <si>
    <t>Unknown Token Found</t>
  </si>
  <si>
    <t>review,approve_term</t>
  </si>
  <si>
    <t>Filename/path token not in registry.</t>
  </si>
  <si>
    <t>low_confidence</t>
  </si>
  <si>
    <t>Low Confidence</t>
  </si>
  <si>
    <t>Classification below threshold.</t>
  </si>
  <si>
    <t>approval_received</t>
  </si>
  <si>
    <t>Approval Received</t>
  </si>
  <si>
    <t>learn,execute,ledger</t>
  </si>
  <si>
    <t>User approved/edited/rejected recommendation.</t>
  </si>
  <si>
    <t>Automation Rules / Action Grammar</t>
  </si>
  <si>
    <t>A complete rule = trigger + selection + diagnosis + guardrails + action sequence + approval + ledger.</t>
  </si>
  <si>
    <t>automation_id</t>
  </si>
  <si>
    <t>trigger</t>
  </si>
  <si>
    <t>selection_rule_group</t>
  </si>
  <si>
    <t>diagnosis_required</t>
  </si>
  <si>
    <t>action_1</t>
  </si>
  <si>
    <t>action_2</t>
  </si>
  <si>
    <t>action_3</t>
  </si>
  <si>
    <t>action_4</t>
  </si>
  <si>
    <t>action_5</t>
  </si>
  <si>
    <t>guardrail_profile</t>
  </si>
  <si>
    <t>max_files_per_run</t>
  </si>
  <si>
    <t>AUTO-001</t>
  </si>
  <si>
    <t>manual</t>
  </si>
  <si>
    <t>Downloads diagnosis only</t>
  </si>
  <si>
    <t>AUTO-002</t>
  </si>
  <si>
    <t>Duplicate cleanup chain</t>
  </si>
  <si>
    <t>AUTO-003</t>
  </si>
  <si>
    <t>weekly</t>
  </si>
  <si>
    <t>Generate .chi sidecars</t>
  </si>
  <si>
    <t>AUTO-004</t>
  </si>
  <si>
    <t>AUTO-005</t>
  </si>
  <si>
    <t>AUTO-006</t>
  </si>
  <si>
    <t>AUTO-007</t>
  </si>
  <si>
    <t>AUTO-008</t>
  </si>
  <si>
    <t>AUTO-009</t>
  </si>
  <si>
    <t>AUTO-010</t>
  </si>
  <si>
    <t>AUTO-011</t>
  </si>
  <si>
    <t>AUTO-012</t>
  </si>
  <si>
    <t>AUTO-013</t>
  </si>
  <si>
    <t>AUTO-014</t>
  </si>
  <si>
    <t>AUTO-015</t>
  </si>
  <si>
    <t>AUTO-016</t>
  </si>
  <si>
    <t>AUTO-017</t>
  </si>
  <si>
    <t>AUTO-018</t>
  </si>
  <si>
    <t>AUTO-019</t>
  </si>
  <si>
    <t>AUTO-020</t>
  </si>
  <si>
    <t>AUTO-021</t>
  </si>
  <si>
    <t>AUTO-022</t>
  </si>
  <si>
    <t>AUTO-023</t>
  </si>
  <si>
    <t>AUTO-024</t>
  </si>
  <si>
    <t>AUTO-025</t>
  </si>
  <si>
    <t>AUTO-026</t>
  </si>
  <si>
    <t>AUTO-027</t>
  </si>
  <si>
    <t>AUTO-028</t>
  </si>
  <si>
    <t>AUTO-029</t>
  </si>
  <si>
    <t>AUTO-030</t>
  </si>
  <si>
    <t>Action Compatibility Matrix</t>
  </si>
  <si>
    <t>Which actions can be chained together, which are conditional, and which are blocked.</t>
  </si>
  <si>
    <t>action_or_signal_a</t>
  </si>
  <si>
    <t>action_b</t>
  </si>
  <si>
    <t>compatibility</t>
  </si>
  <si>
    <t>condition</t>
  </si>
  <si>
    <t>reason</t>
  </si>
  <si>
    <t>Scan must precede classification.</t>
  </si>
  <si>
    <t>classification needs inventory</t>
  </si>
  <si>
    <t>Cannot move before inventory/safety.</t>
  </si>
  <si>
    <t>unknown risk</t>
  </si>
  <si>
    <t>Required</t>
  </si>
  <si>
    <t>Hash required for exact duplicate decisions.</t>
  </si>
  <si>
    <t>prevents false duplicate deletion</t>
  </si>
  <si>
    <t>Conditional</t>
  </si>
  <si>
    <t>Only after keeper review and hash evidence.</t>
  </si>
  <si>
    <t>delete-later not direct delete</t>
  </si>
  <si>
    <t>Allowed if both previewed and rollback ledger exists.</t>
  </si>
  <si>
    <t>two path changes</t>
  </si>
  <si>
    <t>Copy can precede move as backup.</t>
  </si>
  <si>
    <t>safer migration</t>
  </si>
  <si>
    <t>Archive should produce manifest/report.</t>
  </si>
  <si>
    <t>audit trail</t>
  </si>
  <si>
    <t>Blocks</t>
  </si>
  <si>
    <t>Protected items cannot move automatically.</t>
  </si>
  <si>
    <t>do-not-touch policy</t>
  </si>
  <si>
    <t>Protected items cannot rename automatically.</t>
  </si>
  <si>
    <t>Protected items cannot be deleted by automation.</t>
  </si>
  <si>
    <t>Tag can store classification safely.</t>
  </si>
  <si>
    <t>metadata only</t>
  </si>
  <si>
    <t>Tags can guide move preview.</t>
  </si>
  <si>
    <t>requires approval</t>
  </si>
  <si>
    <t>Create if missing, update if stale.</t>
  </si>
  <si>
    <t>metadata lifecycle</t>
  </si>
  <si>
    <t>Missing sidecar triggers create.</t>
  </si>
  <si>
    <t>profile generation</t>
  </si>
  <si>
    <t>Stale sidecar triggers update.</t>
  </si>
  <si>
    <t>profile refresh</t>
  </si>
  <si>
    <t>OCR improves content classification.</t>
  </si>
  <si>
    <t>adds text</t>
  </si>
  <si>
    <t>Transcript improves audio classification.</t>
  </si>
  <si>
    <t>Scripts cannot trigger delete directly.</t>
  </si>
  <si>
    <t>safety</t>
  </si>
  <si>
    <t>public_private_boundary_risk</t>
  </si>
  <si>
    <t>Publish blocked if private risk present.</t>
  </si>
  <si>
    <t>privacy</t>
  </si>
  <si>
    <t>mirror_drift</t>
  </si>
  <si>
    <t>Sync only after compare and source-of-truth selection.</t>
  </si>
  <si>
    <t>prevents overwrite</t>
  </si>
  <si>
    <t>Backup before deletion/quarantine of important files.</t>
  </si>
  <si>
    <t>recovery</t>
  </si>
  <si>
    <t>Compare before sync.</t>
  </si>
  <si>
    <t>source/target drift</t>
  </si>
  <si>
    <t>execute</t>
  </si>
  <si>
    <t>Preferred</t>
  </si>
  <si>
    <t>Report before execution for enterprise workflows.</t>
  </si>
  <si>
    <t>client signoff</t>
  </si>
  <si>
    <t>learn</t>
  </si>
  <si>
    <t>Approved/rejected actions train preferences.</t>
  </si>
  <si>
    <t>preference loop</t>
  </si>
  <si>
    <t>Symptom Taxonomy</t>
  </si>
  <si>
    <t>File/folder pathologies the scanner should detect before proposing actions.</t>
  </si>
  <si>
    <t>symptom_id</t>
  </si>
  <si>
    <t>symptom</t>
  </si>
  <si>
    <t>evidence_pattern</t>
  </si>
  <si>
    <t>recommended_action</t>
  </si>
  <si>
    <t>SYM-001</t>
  </si>
  <si>
    <t>program_root_danger</t>
  </si>
  <si>
    <t>Safety / Do-Not-Touch</t>
  </si>
  <si>
    <t>Project/app dependency markers found.</t>
  </si>
  <si>
    <t>.git/package.json/node_modules/.venv/.sln</t>
  </si>
  <si>
    <t>protect; report only</t>
  </si>
  <si>
    <t>SYM-002</t>
  </si>
  <si>
    <t>config_leak</t>
  </si>
  <si>
    <t>Secrets/config files outside protected lane.</t>
  </si>
  <si>
    <t>.env/API/key/token</t>
  </si>
  <si>
    <t>quarantine from publish; protect</t>
  </si>
  <si>
    <t>SYM-003</t>
  </si>
  <si>
    <t>system_folder_danger</t>
  </si>
  <si>
    <t>System/program folder selected.</t>
  </si>
  <si>
    <t>Windows/Program Files/AppData</t>
  </si>
  <si>
    <t>block actions</t>
  </si>
  <si>
    <t>SYM-004</t>
  </si>
  <si>
    <t>database_state_file</t>
  </si>
  <si>
    <t>DB/application state file mixed with loose files.</t>
  </si>
  <si>
    <t>.db/.sqlite/.pst/catalog</t>
  </si>
  <si>
    <t>protect; backup</t>
  </si>
  <si>
    <t>SYM-005</t>
  </si>
  <si>
    <t>extension_swamp</t>
  </si>
  <si>
    <t>Structure</t>
  </si>
  <si>
    <t>Many unrelated extensions in one folder.</t>
  </si>
  <si>
    <t>extension entropy high</t>
  </si>
  <si>
    <t>separate by family after scan</t>
  </si>
  <si>
    <t>SYM-006</t>
  </si>
  <si>
    <t>media_dump</t>
  </si>
  <si>
    <t>Images/audio/video mixed with weak folder structure.</t>
  </si>
  <si>
    <t>image/video/audio ratio high</t>
  </si>
  <si>
    <t>sort by source/date/type</t>
  </si>
  <si>
    <t>SYM-007</t>
  </si>
  <si>
    <t>document_chaos</t>
  </si>
  <si>
    <t>Documents mixed without domain/project grouping.</t>
  </si>
  <si>
    <t>pdf/docx/xlsx/md mix</t>
  </si>
  <si>
    <t>classify by role/domain</t>
  </si>
  <si>
    <t>SYM-008</t>
  </si>
  <si>
    <t>archive_pile</t>
  </si>
  <si>
    <t>Lifecycle</t>
  </si>
  <si>
    <t>Archives mixed with live files.</t>
  </si>
  <si>
    <t>zip/rar/7z/backups</t>
  </si>
  <si>
    <t>archive lane / unpack-review</t>
  </si>
  <si>
    <t>SYM-009</t>
  </si>
  <si>
    <t>tiny_folder_debris</t>
  </si>
  <si>
    <t>Empty/tiny folders and sync debris.</t>
  </si>
  <si>
    <t>0-2 files/no content</t>
  </si>
  <si>
    <t>delete-later review</t>
  </si>
  <si>
    <t>SYM-010</t>
  </si>
  <si>
    <t>duplicate_cluster</t>
  </si>
  <si>
    <t>Duplication</t>
  </si>
  <si>
    <t>Exact duplicates by hash.</t>
  </si>
  <si>
    <t>same hash</t>
  </si>
  <si>
    <t>choose keeper; review before delete-later</t>
  </si>
  <si>
    <t>SYM-011</t>
  </si>
  <si>
    <t>near_duplicate_cluster</t>
  </si>
  <si>
    <t>Similar names/content, different hash.</t>
  </si>
  <si>
    <t>stem similarity</t>
  </si>
  <si>
    <t>compare; version chain</t>
  </si>
  <si>
    <t>SYM-012</t>
  </si>
  <si>
    <t>v1/v2/final/final2 copies.</t>
  </si>
  <si>
    <t>version suffix patterns</t>
  </si>
  <si>
    <t>promote canonical; archive old</t>
  </si>
  <si>
    <t>SYM-013</t>
  </si>
  <si>
    <t>final_file_ambiguity</t>
  </si>
  <si>
    <t>Multiple files claim final status.</t>
  </si>
  <si>
    <t>final/use_this/latest</t>
  </si>
  <si>
    <t>resolve canonical</t>
  </si>
  <si>
    <t>SYM-014</t>
  </si>
  <si>
    <t>NAS/local/cloud copies diverge.</t>
  </si>
  <si>
    <t>same relative path diff hash/date</t>
  </si>
  <si>
    <t>compare; choose source of truth</t>
  </si>
  <si>
    <t>SYM-015</t>
  </si>
  <si>
    <t>backup_nesting</t>
  </si>
  <si>
    <t>Backups nested inside backups.</t>
  </si>
  <si>
    <t>backup_before/old_copy chains</t>
  </si>
  <si>
    <t>flatten/archive with manifest</t>
  </si>
  <si>
    <t>SYM-016</t>
  </si>
  <si>
    <t>name_rot</t>
  </si>
  <si>
    <t>Naming</t>
  </si>
  <si>
    <t>Screenshot/download/random names.</t>
  </si>
  <si>
    <t>IMG_/Screenshot/uuid</t>
  </si>
  <si>
    <t>suggest rename</t>
  </si>
  <si>
    <t>SYM-017</t>
  </si>
  <si>
    <t>overlong_path_risk</t>
  </si>
  <si>
    <t>Path approaches Windows limit.</t>
  </si>
  <si>
    <t>path length &gt; threshold</t>
  </si>
  <si>
    <t>shorten/refactor</t>
  </si>
  <si>
    <t>SYM-018</t>
  </si>
  <si>
    <t>sync_hostile_names</t>
  </si>
  <si>
    <t>Illegal or sync-problem characters.</t>
  </si>
  <si>
    <t>trailing dots/reserved chars</t>
  </si>
  <si>
    <t>normalize names</t>
  </si>
  <si>
    <t>SYM-019</t>
  </si>
  <si>
    <t>missing_domain_tag</t>
  </si>
  <si>
    <t>Important file lacks domain prefix/tag.</t>
  </si>
  <si>
    <t>high role score, no prefix</t>
  </si>
  <si>
    <t>suggest tag/prefix</t>
  </si>
  <si>
    <t>SYM-020</t>
  </si>
  <si>
    <t>untagged_canonical</t>
  </si>
  <si>
    <t>High-value doc lacks sidecar/tag.</t>
  </si>
  <si>
    <t>canonical signals + no .chi</t>
  </si>
  <si>
    <t>create sidecar; deep audit</t>
  </si>
  <si>
    <t>SYM-021</t>
  </si>
  <si>
    <t>unclassified_blob</t>
  </si>
  <si>
    <t>Unknown binary/low-confidence file.</t>
  </si>
  <si>
    <t>no text/no extension</t>
  </si>
  <si>
    <t>quarantine/review</t>
  </si>
  <si>
    <t>SYM-022</t>
  </si>
  <si>
    <t>ai_session_debris</t>
  </si>
  <si>
    <t>Provenance</t>
  </si>
  <si>
    <t>Raw AI conversations scattered.</t>
  </si>
  <si>
    <t>chat/gpt/claude/gemini tokens</t>
  </si>
  <si>
    <t>route to AI Sessions</t>
  </si>
  <si>
    <t>SYM-023</t>
  </si>
  <si>
    <t>mixed_ai_provenance</t>
  </si>
  <si>
    <t>AI-generated files lack source/model/date.</t>
  </si>
  <si>
    <t>multiple AI markers</t>
  </si>
  <si>
    <t>add provenance metadata</t>
  </si>
  <si>
    <t>SYM-024</t>
  </si>
  <si>
    <t>attribution_gap</t>
  </si>
  <si>
    <t>Public/research file lacks AI-use/authorship note.</t>
  </si>
  <si>
    <t>public/research + no attribution</t>
  </si>
  <si>
    <t>add attribution block</t>
  </si>
  <si>
    <t>SYM-025</t>
  </si>
  <si>
    <t>citation_gap</t>
  </si>
  <si>
    <t>Claim-heavy file lacks sources.</t>
  </si>
  <si>
    <t>claim terms high, evidence low</t>
  </si>
  <si>
    <t>source audit</t>
  </si>
  <si>
    <t>SYM-026</t>
  </si>
  <si>
    <t>claim_heavy_unsorted</t>
  </si>
  <si>
    <t>Many claim markers without ledger/corpus routing.</t>
  </si>
  <si>
    <t>claim_count high, no claim atlas</t>
  </si>
  <si>
    <t>run claim engine</t>
  </si>
  <si>
    <t>SYM-027</t>
  </si>
  <si>
    <t>project_scatter</t>
  </si>
  <si>
    <t>One project spread across locations.</t>
  </si>
  <si>
    <t>shared tokens across roots</t>
  </si>
  <si>
    <t>link/hub first, move later</t>
  </si>
  <si>
    <t>SYM-028</t>
  </si>
  <si>
    <t>folder_role_ambiguity</t>
  </si>
  <si>
    <t>Folder has no clear role.</t>
  </si>
  <si>
    <t>mixed families, low top margin</t>
  </si>
  <si>
    <t>ask user / infer role</t>
  </si>
  <si>
    <t>SYM-029</t>
  </si>
  <si>
    <t>downloads_gravity_well</t>
  </si>
  <si>
    <t>Downloads accumulating mixed files.</t>
  </si>
  <si>
    <t>Downloads + age/mix</t>
  </si>
  <si>
    <t>quick sort / review</t>
  </si>
  <si>
    <t>SYM-030</t>
  </si>
  <si>
    <t>desktop_entropy</t>
  </si>
  <si>
    <t>Desktop used as long-term staging.</t>
  </si>
  <si>
    <t>Desktop file count high</t>
  </si>
  <si>
    <t>snapshot + inbox</t>
  </si>
  <si>
    <t>SYM-031</t>
  </si>
  <si>
    <t>cloud_sync_conflict</t>
  </si>
  <si>
    <t>Conflict copies from cloud sync.</t>
  </si>
  <si>
    <t>conflicted copy/sync-conflict</t>
  </si>
  <si>
    <t>resolve keeper</t>
  </si>
  <si>
    <t>SYM-032</t>
  </si>
  <si>
    <t>orphan_sidecar</t>
  </si>
  <si>
    <t>.chi/.fmeta/json sidecar with missing source.</t>
  </si>
  <si>
    <t>sidecar no source</t>
  </si>
  <si>
    <t>link or review</t>
  </si>
  <si>
    <t>SYM-033</t>
  </si>
  <si>
    <t>missing_sidecar</t>
  </si>
  <si>
    <t>Source file exists without profile sidecar.</t>
  </si>
  <si>
    <t>source no .chi</t>
  </si>
  <si>
    <t>generate sidecar</t>
  </si>
  <si>
    <t>SYM-034</t>
  </si>
  <si>
    <t>stale_sidecar</t>
  </si>
  <si>
    <t>Sidecar hash/date does not match source.</t>
  </si>
  <si>
    <t>sidecar older/hash mismatch</t>
  </si>
  <si>
    <t>rescan</t>
  </si>
  <si>
    <t>SYM-035</t>
  </si>
  <si>
    <t>sensitive_personal_data</t>
  </si>
  <si>
    <t>Tax/legal/medical/identity records.</t>
  </si>
  <si>
    <t>tax/ssn/medical/legal terms</t>
  </si>
  <si>
    <t>protected lane</t>
  </si>
  <si>
    <t>SYM-036</t>
  </si>
  <si>
    <t>Private material inside public/site folder.</t>
  </si>
  <si>
    <t>public path + private terms</t>
  </si>
  <si>
    <t>quarantine from deploy</t>
  </si>
  <si>
    <t>SYM-037</t>
  </si>
  <si>
    <t>low_confidence_rename</t>
  </si>
  <si>
    <t>Rename suggestion below threshold.</t>
  </si>
  <si>
    <t>rename confidence &lt; threshold</t>
  </si>
  <si>
    <t>review only</t>
  </si>
  <si>
    <t>SYM-038</t>
  </si>
  <si>
    <t>automation_overreach</t>
  </si>
  <si>
    <t>Rule touches too many files or risky class.</t>
  </si>
  <si>
    <t>max_files exceeded/risk high</t>
  </si>
  <si>
    <t>require approval</t>
  </si>
  <si>
    <t>SYM-039</t>
  </si>
  <si>
    <t>delete_temptation</t>
  </si>
  <si>
    <t>Deletion proposed without hash/backup/ledger.</t>
  </si>
  <si>
    <t>delete action + missing safeguards</t>
  </si>
  <si>
    <t>block</t>
  </si>
  <si>
    <t>SYM-040</t>
  </si>
  <si>
    <t>no_ledger_trail</t>
  </si>
  <si>
    <t>Governance</t>
  </si>
  <si>
    <t>Actions without action record.</t>
  </si>
  <si>
    <t>no ledger rows</t>
  </si>
  <si>
    <t>block execution</t>
  </si>
  <si>
    <t>Workflow Templates</t>
  </si>
  <si>
    <t>Preset sequences for common jobs. Each workflow is a repeatable consulting playbook.</t>
  </si>
  <si>
    <t>workflow_id</t>
  </si>
  <si>
    <t>workflow_name</t>
  </si>
  <si>
    <t>default_sequence</t>
  </si>
  <si>
    <t>guardrails</t>
  </si>
  <si>
    <t>recommended_views</t>
  </si>
  <si>
    <t>WF-001</t>
  </si>
  <si>
    <t>Downloads Quick Sort</t>
  </si>
  <si>
    <t>Loose mixed downloads</t>
  </si>
  <si>
    <t>Scan &gt; Classify &gt; Detect Symptoms &gt; Preview Move &gt; Review &gt; Report</t>
  </si>
  <si>
    <t>GR-002;GR-005;GR-006;GR-007</t>
  </si>
  <si>
    <t>details;review_queue</t>
  </si>
  <si>
    <t>Never touch installers/program roots without review.</t>
  </si>
  <si>
    <t>WF-002</t>
  </si>
  <si>
    <t>Photo / PICS Cleanup</t>
  </si>
  <si>
    <t>Image-heavy folders</t>
  </si>
  <si>
    <t>Scan &gt; Hash &gt; Detect Duplicates &gt; Classify Source &gt; Preview Separate &gt; Review &gt; Report</t>
  </si>
  <si>
    <t>GR-005;GR-006;GR-008</t>
  </si>
  <si>
    <t>thumbnail;metadata;review_queue</t>
  </si>
  <si>
    <t>Group screenshots/generated/camera/reference.</t>
  </si>
  <si>
    <t>WF-003</t>
  </si>
  <si>
    <t>Business Records Audit</t>
  </si>
  <si>
    <t>Company/client/accounting/legal folders</t>
  </si>
  <si>
    <t>Scan &gt; Protect Sensitive &gt; Classify Roles &gt; Unknown Terms Review &gt; Proposed Architecture &gt; Report</t>
  </si>
  <si>
    <t>GR-001;GR-002;GR-004;GR-005;GR-006</t>
  </si>
  <si>
    <t>dashboard;details;review_queue</t>
  </si>
  <si>
    <t>Report-first; no moves until signoff.</t>
  </si>
  <si>
    <t>WF-004</t>
  </si>
  <si>
    <t>Duplicate Cleanup</t>
  </si>
  <si>
    <t>Exact/near duplicate cleanup</t>
  </si>
  <si>
    <t>Scan &gt; Hash &gt; Compare &gt; Dedupe Candidates &gt; Keeper Review &gt; Delete Later &gt; Report</t>
  </si>
  <si>
    <t>GR-002;GR-005;GR-006;GR-008</t>
  </si>
  <si>
    <t>compare;review_queue</t>
  </si>
  <si>
    <t>Delete later only; never direct deletion.</t>
  </si>
  <si>
    <t>WF-005</t>
  </si>
  <si>
    <t>Project-Safe Code Cleanup</t>
  </si>
  <si>
    <t>Code/project directories</t>
  </si>
  <si>
    <t>Scan &gt; Detect Project Roots &gt; Protect &gt; Report &gt; Optional Copy/Archive</t>
  </si>
  <si>
    <t>GR-001;GR-003;GR-004;GR-005</t>
  </si>
  <si>
    <t>tree;details</t>
  </si>
  <si>
    <t>Do not rename/move internals.</t>
  </si>
  <si>
    <t>WF-006</t>
  </si>
  <si>
    <t>Theophysics Corpus Audit</t>
  </si>
  <si>
    <t>Research corpus</t>
  </si>
  <si>
    <t>Scan &gt; .chi Sidecars &gt; Domain/χ/Law Classification &gt; Claim Engine &gt; Gap Report</t>
  </si>
  <si>
    <t>GR-005;GR-006;GR-007</t>
  </si>
  <si>
    <t>Output claim atlas, corpus audit, repair queue.</t>
  </si>
  <si>
    <t>WF-007</t>
  </si>
  <si>
    <t>AI Session Archive</t>
  </si>
  <si>
    <t>Raw GPT/Claude/Gemini exports</t>
  </si>
  <si>
    <t>Scan &gt; Provenance Detect &gt; Tag &gt; Archive by Model/Date/Project &gt; Report</t>
  </si>
  <si>
    <t>Preserve provenance and original text.</t>
  </si>
  <si>
    <t>WF-008</t>
  </si>
  <si>
    <t>Website Publish Review</t>
  </si>
  <si>
    <t>Public/reviewer portal</t>
  </si>
  <si>
    <t>Scan &gt; Public/Private Risk &gt; Sidecar Check &gt; Preview Publish &gt; Approval &gt; Report</t>
  </si>
  <si>
    <t>GR-004;GR-005;GR-006;GR-009</t>
  </si>
  <si>
    <t>preview;details</t>
  </si>
  <si>
    <t>No private/source/secrets to public path.</t>
  </si>
  <si>
    <t>Consulting Report Sections</t>
  </si>
  <si>
    <t>What a high-quality pre-action file intelligence report should contain.</t>
  </si>
  <si>
    <t>section_id</t>
  </si>
  <si>
    <t>section_name</t>
  </si>
  <si>
    <t>audience</t>
  </si>
  <si>
    <t>purpose</t>
  </si>
  <si>
    <t>importance</t>
  </si>
  <si>
    <t>RS-001</t>
  </si>
  <si>
    <t>Executive Summary</t>
  </si>
  <si>
    <t>owner/manager</t>
  </si>
  <si>
    <t>Top counts, major risks, recommended first actions.</t>
  </si>
  <si>
    <t>RS-002</t>
  </si>
  <si>
    <t>Scope and Safety Boundaries</t>
  </si>
  <si>
    <t>all</t>
  </si>
  <si>
    <t>Scanned/excluded locations and no-modification statement.</t>
  </si>
  <si>
    <t>Critical</t>
  </si>
  <si>
    <t>RS-003</t>
  </si>
  <si>
    <t>Corpus Inventory</t>
  </si>
  <si>
    <t>technical/owner</t>
  </si>
  <si>
    <t>Counts by file type, extension, size, age, folder depth.</t>
  </si>
  <si>
    <t>RS-004</t>
  </si>
  <si>
    <t>Domain/Role Map</t>
  </si>
  <si>
    <t>owner/reviewer</t>
  </si>
  <si>
    <t>Business/personal/domain areas discovered.</t>
  </si>
  <si>
    <t>RS-005</t>
  </si>
  <si>
    <t>Protected / Do-Not-Touch</t>
  </si>
  <si>
    <t>technical</t>
  </si>
  <si>
    <t>System/project/config/sensitive items.</t>
  </si>
  <si>
    <t>RS-006</t>
  </si>
  <si>
    <t>Symptom Diagnosis</t>
  </si>
  <si>
    <t>owner/technical</t>
  </si>
  <si>
    <t>Version sprawl, duplicates, extension swamp, etc.</t>
  </si>
  <si>
    <t>RS-007</t>
  </si>
  <si>
    <t>Duplicate Analysis</t>
  </si>
  <si>
    <t>Exact/near duplicates, sync conflicts, recoverable space.</t>
  </si>
  <si>
    <t>RS-008</t>
  </si>
  <si>
    <t>Risk &amp; Anomaly Register</t>
  </si>
  <si>
    <t>technical/security</t>
  </si>
  <si>
    <t>Secrets, private-public boundary, project roots, unknowns.</t>
  </si>
  <si>
    <t>RS-009</t>
  </si>
  <si>
    <t>Unknowns &amp; Review Queue</t>
  </si>
  <si>
    <t>Unknown tokens/extensions/low-confidence files and questions.</t>
  </si>
  <si>
    <t>RS-010</t>
  </si>
  <si>
    <t>Proposed Folder Architecture</t>
  </si>
  <si>
    <t>owner/operator</t>
  </si>
  <si>
    <t>Future state structure before moves.</t>
  </si>
  <si>
    <t>RS-011</t>
  </si>
  <si>
    <t>Proposed Action Plan</t>
  </si>
  <si>
    <t>Phase 0-7 execution plan.</t>
  </si>
  <si>
    <t>RS-012</t>
  </si>
  <si>
    <t>Expected Impact</t>
  </si>
  <si>
    <t>owner</t>
  </si>
  <si>
    <t>ROI: duplicate storage, risk protected, unknowns reduced.</t>
  </si>
  <si>
    <t>RS-013</t>
  </si>
  <si>
    <t>Governance Rules</t>
  </si>
  <si>
    <t>Watch folders, ledger, monthly audit, future rules.</t>
  </si>
  <si>
    <t>RS-014</t>
  </si>
  <si>
    <t>Technical Appendix</t>
  </si>
  <si>
    <t>CSV/DB evidence, hashes, rules, action preview.</t>
  </si>
  <si>
    <t>Ledger Schema</t>
  </si>
  <si>
    <t>Every action should leave a rollback-capable evidence trail.</t>
  </si>
  <si>
    <t>requirement</t>
  </si>
  <si>
    <t>ledger_id</t>
  </si>
  <si>
    <t>Unique action row ID</t>
  </si>
  <si>
    <t>ACT-20260623-0001</t>
  </si>
  <si>
    <t>timestamp_utc</t>
  </si>
  <si>
    <t>datetime</t>
  </si>
  <si>
    <t>UTC timestamp</t>
  </si>
  <si>
    <t>User or process</t>
  </si>
  <si>
    <t>Action performed/proposed</t>
  </si>
  <si>
    <t>decision_id</t>
  </si>
  <si>
    <t>Approval/rejection decision ref</t>
  </si>
  <si>
    <t>DEC-0001</t>
  </si>
  <si>
    <t>required for execution</t>
  </si>
  <si>
    <t>Selection/automation rule that created action</t>
  </si>
  <si>
    <t>optional</t>
  </si>
  <si>
    <t>source_path_before</t>
  </si>
  <si>
    <t>Before path</t>
  </si>
  <si>
    <t>D:\Downloads\file.png</t>
  </si>
  <si>
    <t>target_path_after</t>
  </si>
  <si>
    <t>After path</t>
  </si>
  <si>
    <t>D:\PICS\file.png</t>
  </si>
  <si>
    <t>required for path actions</t>
  </si>
  <si>
    <t>file_hash_before</t>
  </si>
  <si>
    <t>Hash before action</t>
  </si>
  <si>
    <t>sha256...</t>
  </si>
  <si>
    <t>required for destructive actions</t>
  </si>
  <si>
    <t>file_hash_after</t>
  </si>
  <si>
    <t>Hash after action</t>
  </si>
  <si>
    <t>required for copy/move</t>
  </si>
  <si>
    <t>confidence</t>
  </si>
  <si>
    <t>0-100 confidence</t>
  </si>
  <si>
    <t>82.5</t>
  </si>
  <si>
    <t>0-100 risk</t>
  </si>
  <si>
    <t>15</t>
  </si>
  <si>
    <t>approval_status</t>
  </si>
  <si>
    <t>approved/rejected/edited/pending</t>
  </si>
  <si>
    <t>approved</t>
  </si>
  <si>
    <t>Can action be reversed</t>
  </si>
  <si>
    <t>status</t>
  </si>
  <si>
    <t>planned/executed/error/rolled_back</t>
  </si>
  <si>
    <t>planned</t>
  </si>
  <si>
    <t>error_message</t>
  </si>
  <si>
    <t>Error if failed</t>
  </si>
  <si>
    <t>Change input assumptions to estimate review burden, risk blocks, auto-suggestions, and report size before touching files.</t>
  </si>
  <si>
    <t>Input</t>
  </si>
  <si>
    <t>Notes</t>
  </si>
  <si>
    <t>Output</t>
  </si>
  <si>
    <t>Formula / Result</t>
  </si>
  <si>
    <t>Interpretation</t>
  </si>
  <si>
    <t>Workflow</t>
  </si>
  <si>
    <t>Choose a workflow template</t>
  </si>
  <si>
    <t>Estimated high-risk files</t>
  </si>
  <si>
    <t>Require protected review / blocked actions</t>
  </si>
  <si>
    <t>Total files</t>
  </si>
  <si>
    <t>Number of files in target scope</t>
  </si>
  <si>
    <t>Estimated low-confidence files</t>
  </si>
  <si>
    <t>Likely review queue</t>
  </si>
  <si>
    <t>High-risk %</t>
  </si>
  <si>
    <t>Protected/sensitive/project-root expected share</t>
  </si>
  <si>
    <t>Estimated duplicate candidates</t>
  </si>
  <si>
    <t>Need hash/compare/keeper review</t>
  </si>
  <si>
    <t>Low-confidence %</t>
  </si>
  <si>
    <t>Expected low-confidence classifications</t>
  </si>
  <si>
    <t>Estimated files per run chunks</t>
  </si>
  <si>
    <t>How many batches to stay under guardrail</t>
  </si>
  <si>
    <t>Duplicate %</t>
  </si>
  <si>
    <t>Expected duplicate candidates</t>
  </si>
  <si>
    <t>First review questions</t>
  </si>
  <si>
    <t>Ask highest-impact unknown tokens first</t>
  </si>
  <si>
    <t>Unknown token groups</t>
  </si>
  <si>
    <t>Distinct unknown terms/patterns</t>
  </si>
  <si>
    <t>Estimated ledger rows</t>
  </si>
  <si>
    <t>At least one row per file plus duplicate action rows</t>
  </si>
  <si>
    <t>Auto threshold</t>
  </si>
  <si>
    <t>Above this, safe suggestions can be auto-prepared</t>
  </si>
  <si>
    <t>Pre-action report required?</t>
  </si>
  <si>
    <t>Report before execution</t>
  </si>
  <si>
    <t>Review threshold</t>
  </si>
  <si>
    <t>Below this, user review required</t>
  </si>
  <si>
    <t>Automation allowed?</t>
  </si>
  <si>
    <t>Safety gate</t>
  </si>
  <si>
    <t>Guardrail cap</t>
  </si>
  <si>
    <t>Scenario</t>
  </si>
  <si>
    <t>Total Files</t>
  </si>
  <si>
    <t>Risk %</t>
  </si>
  <si>
    <t>Low Conf %</t>
  </si>
  <si>
    <t>Dup %</t>
  </si>
  <si>
    <t>Unknown Groups</t>
  </si>
  <si>
    <t>Recommended Mode</t>
  </si>
  <si>
    <t>Small Downloads cleanup</t>
  </si>
  <si>
    <t>Preview + batch approve</t>
  </si>
  <si>
    <t>Photo/PICS folder</t>
  </si>
  <si>
    <t>Thumbnail review + dedupe</t>
  </si>
  <si>
    <t>Business archive</t>
  </si>
  <si>
    <t>Report-first, protect, unknowns review</t>
  </si>
  <si>
    <t>Code/projects folder</t>
  </si>
  <si>
    <t>Theophysics corpus</t>
  </si>
  <si>
    <t>.chi + claim/audit routing</t>
  </si>
  <si>
    <t>FIS Lists / Dropdown Sources</t>
  </si>
  <si>
    <t>This sheet feeds dropdowns. Add approved values here; Python can later read these lists.</t>
  </si>
  <si>
    <t>View_Modes</t>
  </si>
  <si>
    <t>Triggers</t>
  </si>
  <si>
    <t>Action_Families</t>
  </si>
  <si>
    <t>Risk_Levels</t>
  </si>
  <si>
    <t>Approval_Modes</t>
  </si>
  <si>
    <t>Boolean</t>
  </si>
  <si>
    <t>OR</t>
  </si>
  <si>
    <t>auto_after_threshold</t>
  </si>
  <si>
    <t>Action Spec: Look / Scan</t>
  </si>
  <si>
    <t>Input / Control</t>
  </si>
  <si>
    <t>Default / Notes</t>
  </si>
  <si>
    <t>Step</t>
  </si>
  <si>
    <t>Control / Variable</t>
  </si>
  <si>
    <t>Guardrail</t>
  </si>
  <si>
    <t>Best View</t>
  </si>
  <si>
    <t>source_folder</t>
  </si>
  <si>
    <t>1</t>
  </si>
  <si>
    <t>Choose allowed roots</t>
  </si>
  <si>
    <t>user-selected folders only</t>
  </si>
  <si>
    <t>system/program folders excluded</t>
  </si>
  <si>
    <t>folder picker</t>
  </si>
  <si>
    <t>preview only</t>
  </si>
  <si>
    <t>scan_depth</t>
  </si>
  <si>
    <t>2</t>
  </si>
  <si>
    <t>Inventory files/folders</t>
  </si>
  <si>
    <t>path/type/size/date</t>
  </si>
  <si>
    <t>no writes to source</t>
  </si>
  <si>
    <t>details/tree</t>
  </si>
  <si>
    <t>file_types</t>
  </si>
  <si>
    <t>3</t>
  </si>
  <si>
    <t>Hash critical candidates</t>
  </si>
  <si>
    <t>optional/threshold</t>
  </si>
  <si>
    <t>no duplicate action without hash</t>
  </si>
  <si>
    <t>hash table</t>
  </si>
  <si>
    <t>hash_policy</t>
  </si>
  <si>
    <t>4</t>
  </si>
  <si>
    <t>Detect basic risks</t>
  </si>
  <si>
    <t>project roots/secrets/system</t>
  </si>
  <si>
    <t>block unsafe actions</t>
  </si>
  <si>
    <t>risk register</t>
  </si>
  <si>
    <t>exclude_folders</t>
  </si>
  <si>
    <t>5</t>
  </si>
  <si>
    <t>Report scan summary</t>
  </si>
  <si>
    <t>counts and unknowns</t>
  </si>
  <si>
    <t>no moves</t>
  </si>
  <si>
    <t>dashboard/report</t>
  </si>
  <si>
    <t>report.html</t>
  </si>
  <si>
    <t>max_files</t>
  </si>
  <si>
    <t>Property</t>
  </si>
  <si>
    <t>Action Spec: Understand / Classify</t>
  </si>
  <si>
    <t>classification_profile</t>
  </si>
  <si>
    <t>Read inventory</t>
  </si>
  <si>
    <t>from scan cache</t>
  </si>
  <si>
    <t>requires scan</t>
  </si>
  <si>
    <t>source data</t>
  </si>
  <si>
    <t>approved_terms</t>
  </si>
  <si>
    <t>Apply deterministic labels</t>
  </si>
  <si>
    <t>extension/MIME/name/path/content</t>
  </si>
  <si>
    <t>no movement</t>
  </si>
  <si>
    <t>evidence rows</t>
  </si>
  <si>
    <t>confidence_threshold</t>
  </si>
  <si>
    <t>Vote across signals</t>
  </si>
  <si>
    <t>weighted family/role scores</t>
  </si>
  <si>
    <t>rival margin calculated</t>
  </si>
  <si>
    <t>unknown_policy</t>
  </si>
  <si>
    <t>Queue unknowns</t>
  </si>
  <si>
    <t>unknown tokens/extensions</t>
  </si>
  <si>
    <t>human approval gate</t>
  </si>
  <si>
    <t>candidate terms</t>
  </si>
  <si>
    <t>content_sample_size</t>
  </si>
  <si>
    <t>Write classifications</t>
  </si>
  <si>
    <t>SQLite + sidecar candidates</t>
  </si>
  <si>
    <t>not execution</t>
  </si>
  <si>
    <t>DB rows</t>
  </si>
  <si>
    <t>Action Spec: Tag / Metadata</t>
  </si>
  <si>
    <t>tag_name</t>
  </si>
  <si>
    <t>Select file set</t>
  </si>
  <si>
    <t>rules/query</t>
  </si>
  <si>
    <t>protect hidden/system</t>
  </si>
  <si>
    <t>matched set</t>
  </si>
  <si>
    <t>tag_value</t>
  </si>
  <si>
    <t>Preview tags</t>
  </si>
  <si>
    <t>domain/role/status/risk</t>
  </si>
  <si>
    <t>no duplicate destructive action</t>
  </si>
  <si>
    <t>sidecar_policy</t>
  </si>
  <si>
    <t>Approval optional</t>
  </si>
  <si>
    <t>low-risk metadata</t>
  </si>
  <si>
    <t>required if bulk &gt; threshold</t>
  </si>
  <si>
    <t>Write tags</t>
  </si>
  <si>
    <t>SQLite/.chi</t>
  </si>
  <si>
    <t>source file unchanged</t>
  </si>
  <si>
    <t>sidecar/DB</t>
  </si>
  <si>
    <t>bulk_threshold</t>
  </si>
  <si>
    <t>Ledger</t>
  </si>
  <si>
    <t>tag before/after</t>
  </si>
  <si>
    <t>ledger row</t>
  </si>
  <si>
    <t>Action Spec: Rename</t>
  </si>
  <si>
    <t>naming_schema</t>
  </si>
  <si>
    <t>Select candidates</t>
  </si>
  <si>
    <t>name rot/low-risk loose files</t>
  </si>
  <si>
    <t>skip protected/project roots</t>
  </si>
  <si>
    <t>file set</t>
  </si>
  <si>
    <t>prefix_policy</t>
  </si>
  <si>
    <t>Generate proposed names</t>
  </si>
  <si>
    <t>schema/template/markov suggestions</t>
  </si>
  <si>
    <t>confidence gate</t>
  </si>
  <si>
    <t>name proposals</t>
  </si>
  <si>
    <t>date_policy</t>
  </si>
  <si>
    <t>Validate collisions</t>
  </si>
  <si>
    <t>target names unique</t>
  </si>
  <si>
    <t>block conflicts</t>
  </si>
  <si>
    <t>collision report</t>
  </si>
  <si>
    <t>tag_policy</t>
  </si>
  <si>
    <t>Approve rename</t>
  </si>
  <si>
    <t>row-level approval</t>
  </si>
  <si>
    <t>Execute + ledger</t>
  </si>
  <si>
    <t>before/after path</t>
  </si>
  <si>
    <t>rollback record</t>
  </si>
  <si>
    <t>action rows</t>
  </si>
  <si>
    <t>Action Spec: Move</t>
  </si>
  <si>
    <t>source</t>
  </si>
  <si>
    <t>Select matched set</t>
  </si>
  <si>
    <t>query/symptom/workflow</t>
  </si>
  <si>
    <t>skip protected</t>
  </si>
  <si>
    <t>target</t>
  </si>
  <si>
    <t>Score destinations</t>
  </si>
  <si>
    <t>where candidates + rival margin</t>
  </si>
  <si>
    <t>source/target exists</t>
  </si>
  <si>
    <t>dual pane</t>
  </si>
  <si>
    <t>route scores</t>
  </si>
  <si>
    <t>preserve_hierarchy</t>
  </si>
  <si>
    <t>Preview before/after</t>
  </si>
  <si>
    <t>exact old/new paths</t>
  </si>
  <si>
    <t>actions.csv</t>
  </si>
  <si>
    <t>conflict_policy</t>
  </si>
  <si>
    <t>Approval</t>
  </si>
  <si>
    <t>row or batch approval</t>
  </si>
  <si>
    <t>skip_policy</t>
  </si>
  <si>
    <t>Execute/verify</t>
  </si>
  <si>
    <t>move and verify hash/path</t>
  </si>
  <si>
    <t>rollback ledger</t>
  </si>
  <si>
    <t>completed actions</t>
  </si>
  <si>
    <t>Action Spec: Copy</t>
  </si>
  <si>
    <t>skip system</t>
  </si>
  <si>
    <t>Choose target</t>
  </si>
  <si>
    <t>backup/review/archive</t>
  </si>
  <si>
    <t>space check</t>
  </si>
  <si>
    <t>target check</t>
  </si>
  <si>
    <t>copy_sidecars</t>
  </si>
  <si>
    <t>Preview copy</t>
  </si>
  <si>
    <t>old/new paths</t>
  </si>
  <si>
    <t>required if bulk</t>
  </si>
  <si>
    <t>preserve_metadata</t>
  </si>
  <si>
    <t>Execute copy</t>
  </si>
  <si>
    <t>copy files/metadata/sidecars</t>
  </si>
  <si>
    <t>verify hashes</t>
  </si>
  <si>
    <t>copy log</t>
  </si>
  <si>
    <t>verify_hash</t>
  </si>
  <si>
    <t>Ledger/report</t>
  </si>
  <si>
    <t>before/after + verification</t>
  </si>
  <si>
    <t>Action Spec: Archive</t>
  </si>
  <si>
    <t>archive_root</t>
  </si>
  <si>
    <t>Identify inactive set</t>
  </si>
  <si>
    <t>age/status/folder role</t>
  </si>
  <si>
    <t>skip active/protected</t>
  </si>
  <si>
    <t>candidates</t>
  </si>
  <si>
    <t>archive_strategy</t>
  </si>
  <si>
    <t>Choose archive lane</t>
  </si>
  <si>
    <t>date/project/domain</t>
  </si>
  <si>
    <t>manifest required</t>
  </si>
  <si>
    <t>target tree</t>
  </si>
  <si>
    <t>inactive_days</t>
  </si>
  <si>
    <t>Preview archive</t>
  </si>
  <si>
    <t>exact paths</t>
  </si>
  <si>
    <t>manifest_policy</t>
  </si>
  <si>
    <t>Execute archive</t>
  </si>
  <si>
    <t>move/copy + manifest</t>
  </si>
  <si>
    <t>approval required</t>
  </si>
  <si>
    <t>actions</t>
  </si>
  <si>
    <t>compression_policy</t>
  </si>
  <si>
    <t>Generate archive report</t>
  </si>
  <si>
    <t>summary + manifest</t>
  </si>
  <si>
    <t>archive report</t>
  </si>
  <si>
    <t>Action Spec: Delete Later / Quarantine</t>
  </si>
  <si>
    <t>quarantine_folder</t>
  </si>
  <si>
    <t>duplicates/temp/debris</t>
  </si>
  <si>
    <t>hash required</t>
  </si>
  <si>
    <t>hold_days</t>
  </si>
  <si>
    <t>Confirm keeper/protection</t>
  </si>
  <si>
    <t>duplicates only after compare</t>
  </si>
  <si>
    <t>block protected</t>
  </si>
  <si>
    <t>keeper report</t>
  </si>
  <si>
    <t>hash_required</t>
  </si>
  <si>
    <t>Move to delete-later</t>
  </si>
  <si>
    <t>quarantine folder</t>
  </si>
  <si>
    <t>before/after</t>
  </si>
  <si>
    <t>keeper_rule</t>
  </si>
  <si>
    <t>Hold period</t>
  </si>
  <si>
    <t>minimum days</t>
  </si>
  <si>
    <t>no permanent delete</t>
  </si>
  <si>
    <t>quarantine manifest</t>
  </si>
  <si>
    <t>Final review/report</t>
  </si>
  <si>
    <t>manual decision later</t>
  </si>
  <si>
    <t>hold report</t>
  </si>
  <si>
    <t>Action Spec: Protect / Do Not Touch</t>
  </si>
  <si>
    <t>protected_patterns</t>
  </si>
  <si>
    <t>Detect protected patterns</t>
  </si>
  <si>
    <t>system/project/secrets/client/tax</t>
  </si>
  <si>
    <t>conservative</t>
  </si>
  <si>
    <t>risk candidates</t>
  </si>
  <si>
    <t>critical_extensions</t>
  </si>
  <si>
    <t>Confirm protection</t>
  </si>
  <si>
    <t>auto for critical, review for high</t>
  </si>
  <si>
    <t>block destructive actions</t>
  </si>
  <si>
    <t>critical_paths</t>
  </si>
  <si>
    <t>Write protected flag</t>
  </si>
  <si>
    <t>source unchanged</t>
  </si>
  <si>
    <t>manual_do_not_touch</t>
  </si>
  <si>
    <t>Block incompatible actions</t>
  </si>
  <si>
    <t>guardrail matrix</t>
  </si>
  <si>
    <t>blocks</t>
  </si>
  <si>
    <t>public_boundary_policy</t>
  </si>
  <si>
    <t>Report protected items</t>
  </si>
  <si>
    <t>risk report</t>
  </si>
  <si>
    <t>Action Spec: Compare / Deduplicate</t>
  </si>
  <si>
    <t>match_by</t>
  </si>
  <si>
    <t>Hash candidates</t>
  </si>
  <si>
    <t>exact hash groups</t>
  </si>
  <si>
    <t>scope</t>
  </si>
  <si>
    <t>Compare near duplicates</t>
  </si>
  <si>
    <t>name/size/date/content</t>
  </si>
  <si>
    <t>review required</t>
  </si>
  <si>
    <t>groups</t>
  </si>
  <si>
    <t>Select keeper candidate</t>
  </si>
  <si>
    <t>newest/original/path/manual</t>
  </si>
  <si>
    <t>never automatic for protected</t>
  </si>
  <si>
    <t>keeper</t>
  </si>
  <si>
    <t>near_duplicate_threshold</t>
  </si>
  <si>
    <t>Preview delete-later/archive</t>
  </si>
  <si>
    <t>no direct delete</t>
  </si>
  <si>
    <t>delete_policy</t>
  </si>
  <si>
    <t>duplicate group evidence</t>
  </si>
  <si>
    <t>duplicate report</t>
  </si>
  <si>
    <t>Action Spec: .chi Sidecar</t>
  </si>
  <si>
    <t>sidecar_extension</t>
  </si>
  <si>
    <t>Detect missing/stale sidecars</t>
  </si>
  <si>
    <t>source vs .chi</t>
  </si>
  <si>
    <t>no source modification</t>
  </si>
  <si>
    <t>sidecar status</t>
  </si>
  <si>
    <t>template_version</t>
  </si>
  <si>
    <t>Build profile</t>
  </si>
  <si>
    <t>role/domain/risk/evidence</t>
  </si>
  <si>
    <t>source hash recorded</t>
  </si>
  <si>
    <t>profile</t>
  </si>
  <si>
    <t>write_policy</t>
  </si>
  <si>
    <t>Preview sidecar</t>
  </si>
  <si>
    <t>human-readable record</t>
  </si>
  <si>
    <t>optional approval</t>
  </si>
  <si>
    <t>.chi text</t>
  </si>
  <si>
    <t>lexicon_policy</t>
  </si>
  <si>
    <t>Write sidecar</t>
  </si>
  <si>
    <t>markdown-compatible .chi</t>
  </si>
  <si>
    <t>sidecar file</t>
  </si>
  <si>
    <t>Update DB</t>
  </si>
  <si>
    <t>sidecar hash/time</t>
  </si>
  <si>
    <t>Action Spec: Report</t>
  </si>
  <si>
    <t>report_type</t>
  </si>
  <si>
    <t>Collect scan/classification data</t>
  </si>
  <si>
    <t>SQLite</t>
  </si>
  <si>
    <t>no file actions</t>
  </si>
  <si>
    <t>report data</t>
  </si>
  <si>
    <t>include_csv</t>
  </si>
  <si>
    <t>Summarize corpus</t>
  </si>
  <si>
    <t>counts/types/domains</t>
  </si>
  <si>
    <t>include scope</t>
  </si>
  <si>
    <t>executive</t>
  </si>
  <si>
    <t>include_appendix</t>
  </si>
  <si>
    <t>List symptoms/risks/unknowns</t>
  </si>
  <si>
    <t>evidence examples</t>
  </si>
  <si>
    <t>not accusations</t>
  </si>
  <si>
    <t>include_actions</t>
  </si>
  <si>
    <t>Create action preview</t>
  </si>
  <si>
    <t>proposed_actions.csv</t>
  </si>
  <si>
    <t>no execution</t>
  </si>
  <si>
    <t>action plan</t>
  </si>
  <si>
    <t>export_folder</t>
  </si>
  <si>
    <t>Export report package</t>
  </si>
  <si>
    <t>HTML/PDF/CSV</t>
  </si>
  <si>
    <t>deliverables</t>
  </si>
  <si>
    <t>Action Spec: Automation / Watch Rules</t>
  </si>
  <si>
    <t>Choose trigger</t>
  </si>
  <si>
    <t>manual/watch/schedule/event</t>
  </si>
  <si>
    <t>guardrails required</t>
  </si>
  <si>
    <t>Attach selection rules</t>
  </si>
  <si>
    <t>field/operator/value</t>
  </si>
  <si>
    <t>rule validity check</t>
  </si>
  <si>
    <t>rule builder</t>
  </si>
  <si>
    <t>rule set</t>
  </si>
  <si>
    <t>action_sequence</t>
  </si>
  <si>
    <t>Attach action sequence</t>
  </si>
  <si>
    <t>allowed compatibility only</t>
  </si>
  <si>
    <t>block unsafe combos</t>
  </si>
  <si>
    <t>sequence</t>
  </si>
  <si>
    <t>Approval mode</t>
  </si>
  <si>
    <t>preview/suggest/execute after approval</t>
  </si>
  <si>
    <t>Record automation</t>
  </si>
  <si>
    <t>disabled by default until approved</t>
  </si>
  <si>
    <t>automation rule</t>
  </si>
  <si>
    <t>Action Spec: Analyze / OCR / Transcribe</t>
  </si>
  <si>
    <t>extractor</t>
  </si>
  <si>
    <t>Select extractable files</t>
  </si>
  <si>
    <t>PDF/image/audio/video</t>
  </si>
  <si>
    <t>skip protected unless approved</t>
  </si>
  <si>
    <t>privacy_mode</t>
  </si>
  <si>
    <t>Choose extractor</t>
  </si>
  <si>
    <t>OCR/transcribe/text parse</t>
  </si>
  <si>
    <t>local/API policy</t>
  </si>
  <si>
    <t>api_allowed</t>
  </si>
  <si>
    <t>Preview cost/privacy</t>
  </si>
  <si>
    <t>API/local choice</t>
  </si>
  <si>
    <t>risk/cost</t>
  </si>
  <si>
    <t>output_sidecar</t>
  </si>
  <si>
    <t>Run extraction</t>
  </si>
  <si>
    <t>generate text sidecar</t>
  </si>
  <si>
    <t>output</t>
  </si>
  <si>
    <t>Reclassify/report</t>
  </si>
  <si>
    <t>content signals improve</t>
  </si>
  <si>
    <t>updated classification</t>
  </si>
  <si>
    <t>Field → Operator Map</t>
  </si>
  <si>
    <t>Expanded map showing every valid operator for each field. This supports dependent-dropdown logic in a future UI.</t>
  </si>
  <si>
    <t>operator_label</t>
  </si>
  <si>
    <t>operator_data_type</t>
  </si>
  <si>
    <t>Action Conditions / Prerequisites</t>
  </si>
  <si>
    <t>What each action requires before it is allowed. This becomes the backend safety contract.</t>
  </si>
  <si>
    <t>required_inputs</t>
  </si>
  <si>
    <t>required_preconditions</t>
  </si>
  <si>
    <t>blocked_if</t>
  </si>
  <si>
    <t>required_guardrails</t>
  </si>
  <si>
    <t>minimum_view</t>
  </si>
  <si>
    <t>approval_default</t>
  </si>
  <si>
    <t>source_root, scan_depth</t>
  </si>
  <si>
    <t>source exists</t>
  </si>
  <si>
    <t>system root without explicit scope</t>
  </si>
  <si>
    <t>GR-001,GR-005</t>
  </si>
  <si>
    <t>tree/details</t>
  </si>
  <si>
    <t>Read-only only.</t>
  </si>
  <si>
    <t>inventory rows</t>
  </si>
  <si>
    <t>scan complete</t>
  </si>
  <si>
    <t>missing inventory</t>
  </si>
  <si>
    <t>GR-005,GR-007</t>
  </si>
  <si>
    <t>details/grouped</t>
  </si>
  <si>
    <t>Can run without content extraction.</t>
  </si>
  <si>
    <t>file_set, tag_name</t>
  </si>
  <si>
    <t>classification or user tag exists</t>
  </si>
  <si>
    <t>protected flag only if tag would override protection</t>
  </si>
  <si>
    <t>DB/sidecar only.</t>
  </si>
  <si>
    <t>file_set, proposed_name</t>
  </si>
  <si>
    <t>confidence &gt;= review_threshold or user supplied</t>
  </si>
  <si>
    <t>protected/project_root/filename collision</t>
  </si>
  <si>
    <t>GR-003,GR-005,GR-006,GR-011</t>
  </si>
  <si>
    <t>details/preview</t>
  </si>
  <si>
    <t>Always rollback-capable.</t>
  </si>
  <si>
    <t>file_set, target_path</t>
  </si>
  <si>
    <t>target exists or create approved</t>
  </si>
  <si>
    <t>protected/project_root/private-public risk</t>
  </si>
  <si>
    <t>dual_pane/preview</t>
  </si>
  <si>
    <t>Exact before/after paths required.</t>
  </si>
  <si>
    <t>disk space insufficient</t>
  </si>
  <si>
    <t>GR-005,GR-006</t>
  </si>
  <si>
    <t>Verify after copy.</t>
  </si>
  <si>
    <t>file_set, archive_root</t>
  </si>
  <si>
    <t>inactive/archive criteria met</t>
  </si>
  <si>
    <t>active/protected/project_root without approval</t>
  </si>
  <si>
    <t>GR-005,GR-006,GR-011</t>
  </si>
  <si>
    <t>tree/preview</t>
  </si>
  <si>
    <t>Archive manifest required.</t>
  </si>
  <si>
    <t>file_set, quarantine_folder</t>
  </si>
  <si>
    <t>hash/keeper review when duplicate</t>
  </si>
  <si>
    <t>protected/no hash/no ledger</t>
  </si>
  <si>
    <t>GR-002,GR-005,GR-006,GR-008</t>
  </si>
  <si>
    <t>Never direct delete.</t>
  </si>
  <si>
    <t>file_set, protection_reason</t>
  </si>
  <si>
    <t>risk signal or user selection</t>
  </si>
  <si>
    <t>Blocks incompatible actions.</t>
  </si>
  <si>
    <t>hash/content comparison</t>
  </si>
  <si>
    <t>no keeper selected</t>
  </si>
  <si>
    <t>Outputs keepers + delete-later candidates.</t>
  </si>
  <si>
    <t>source_file</t>
  </si>
  <si>
    <t>source readable or metadata available</t>
  </si>
  <si>
    <t>source missing</t>
  </si>
  <si>
    <t>Writes .chi beside or in sidecar folder.</t>
  </si>
  <si>
    <t>scan/classification DB</t>
  </si>
  <si>
    <t>data exists</t>
  </si>
  <si>
    <t>Should precede execution.</t>
  </si>
  <si>
    <t>trigger, selection_rules, action_sequence</t>
  </si>
  <si>
    <t>guardrails assigned</t>
  </si>
  <si>
    <t>unsafe actions without approval</t>
  </si>
  <si>
    <t>GR-005,GR-006,GR-010</t>
  </si>
  <si>
    <t>Disabled until approved.</t>
  </si>
  <si>
    <t>script_path, file_set</t>
  </si>
  <si>
    <t>script exists and is whitelisted</t>
  </si>
  <si>
    <t>destructive script/no preview/no test run</t>
  </si>
  <si>
    <t>High risk.</t>
  </si>
  <si>
    <t>Routine Builder</t>
  </si>
  <si>
    <t>Design multi-step routines from actions. Excel validates obvious incompatibilities through the compatibility matrix.</t>
  </si>
  <si>
    <t>routine_id</t>
  </si>
  <si>
    <t>routine_name</t>
  </si>
  <si>
    <t>step_6</t>
  </si>
  <si>
    <t>ROUT-001</t>
  </si>
  <si>
    <t>Report-first business archive</t>
  </si>
  <si>
    <t>No execution before report</t>
  </si>
  <si>
    <t>ROUT-002</t>
  </si>
  <si>
    <t>Safe photo cleanup</t>
  </si>
  <si>
    <t>Review before delete-later</t>
  </si>
  <si>
    <t>ROUT-003</t>
  </si>
  <si>
    <t>Downloads cleanup</t>
  </si>
  <si>
    <t>Use preview for all moves</t>
  </si>
  <si>
    <t>ROUT-004</t>
  </si>
  <si>
    <t>ROUT-005</t>
  </si>
  <si>
    <t>ROUT-006</t>
  </si>
  <si>
    <t>ROUT-007</t>
  </si>
  <si>
    <t>ROUT-008</t>
  </si>
  <si>
    <t>ROUT-009</t>
  </si>
  <si>
    <t>ROUT-010</t>
  </si>
  <si>
    <t>ROUT-011</t>
  </si>
  <si>
    <t>ROUT-012</t>
  </si>
  <si>
    <t>ROUT-013</t>
  </si>
  <si>
    <t>ROUT-014</t>
  </si>
  <si>
    <t>ROUT-015</t>
  </si>
  <si>
    <t>ROUT-016</t>
  </si>
  <si>
    <t>ROUT-017</t>
  </si>
  <si>
    <t>ROUT-018</t>
  </si>
  <si>
    <t>ROUT-019</t>
  </si>
  <si>
    <t>ROUT-020</t>
  </si>
  <si>
    <t>ROUT-021</t>
  </si>
  <si>
    <t>ROUT-022</t>
  </si>
  <si>
    <t>ROUT-023</t>
  </si>
  <si>
    <t>ROUT-024</t>
  </si>
  <si>
    <t>ROUT-025</t>
  </si>
  <si>
    <t>ROUT-026</t>
  </si>
  <si>
    <t>ROUT-027</t>
  </si>
  <si>
    <t>ROUT-028</t>
  </si>
  <si>
    <t>ROUT-029</t>
  </si>
  <si>
    <t>ROUT-030</t>
  </si>
  <si>
    <t xml:space="preserve">OK you sold 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</si>
</sst>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8"/>
      <color rgb="FFD4AF37"/>
      <name val="Carlito"/>
    </font>
    <font>
      <i/>
      <sz val="10"/>
      <color rgb="FF9A9A9A"/>
      <name val="Carlito"/>
    </font>
    <font>
      <b/>
      <sz val="11"/>
      <color rgb="FFFFFFFF"/>
      <name val="Carlito"/>
    </font>
    <font>
      <b/>
      <sz val="14"/>
      <color rgb="FFD4AF37"/>
      <name val="Carlito"/>
    </font>
    <font>
      <b/>
      <sz val="11"/>
      <color rgb="FFD4AF37"/>
      <name val="Carlito"/>
    </font>
    <font>
      <b/>
      <sz val="11"/>
      <color rgb="FF000000"/>
      <name val="Carlito"/>
    </font>
    <font>
      <sz val="11"/>
      <color rgb="FFE5E3DF"/>
      <name val="Carlito"/>
    </font>
    <font>
      <b/>
      <sz val="11"/>
      <color rgb="FFFB923C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50505"/>
      </patternFill>
    </fill>
    <fill>
      <patternFill patternType="solid">
        <fgColor rgb="FF1A1A1A"/>
      </patternFill>
    </fill>
    <fill>
      <patternFill patternType="solid">
        <fgColor rgb="FF38BDF8"/>
      </patternFill>
    </fill>
    <fill>
      <patternFill patternType="solid">
        <fgColor rgb="FFA855F7"/>
      </patternFill>
    </fill>
    <fill>
      <patternFill patternType="solid">
        <fgColor rgb="FF14B8A6"/>
      </patternFill>
    </fill>
    <fill>
      <patternFill patternType="solid">
        <fgColor rgb="FFF87171"/>
      </patternFill>
    </fill>
    <fill>
      <patternFill patternType="solid">
        <fgColor rgb="FFFB923C"/>
      </patternFill>
    </fill>
    <fill>
      <patternFill patternType="solid">
        <fgColor rgb="FF4ADE80"/>
      </patternFill>
    </fill>
    <fill>
      <patternFill patternType="solid">
        <fgColor rgb="FFD4AF37"/>
      </patternFill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0" xfId="0" applyFont="1" applyFill="1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 wrapText="1"/>
    </xf>
    <xf numFmtId="0" fontId="3" fillId="6" borderId="0" xfId="0" applyFont="1" applyFill="1" applyAlignment="1">
      <alignment horizontal="center"/>
    </xf>
    <xf numFmtId="0" fontId="5" fillId="0" borderId="0" xfId="0" applyFont="1" applyAlignment="1">
      <alignment wrapText="1"/>
    </xf>
    <xf numFmtId="0" fontId="6" fillId="10" borderId="0" xfId="0" applyFont="1" applyFill="1" applyAlignment="1">
      <alignment horizontal="center"/>
    </xf>
    <xf numFmtId="0" fontId="7" fillId="11" borderId="0" xfId="0" applyFont="1" applyFill="1" applyAlignment="1">
      <alignment wrapText="1"/>
    </xf>
    <xf numFmtId="0" fontId="3" fillId="5" borderId="0" xfId="0" applyFont="1" applyFill="1" applyAlignment="1">
      <alignment horizontal="center"/>
    </xf>
    <xf numFmtId="9" fontId="0" fillId="0" borderId="0" xfId="0" applyNumberFormat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9" fontId="0" fillId="0" borderId="0" xfId="0" applyNumberFormat="1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wrapText="1"/>
    </xf>
    <xf numFmtId="0" fontId="6" fillId="10" borderId="0" xfId="0" applyFont="1" applyFill="1" applyAlignment="1">
      <alignment horizontal="center"/>
    </xf>
    <xf numFmtId="0" fontId="7" fillId="11" borderId="0" xfId="0" applyFont="1" applyFill="1" applyAlignment="1">
      <alignment wrapText="1"/>
    </xf>
  </cellXfs>
  <cellStyles count="1">
    <cellStyle name="Normal" xfId="0" builtinId="0"/>
  </cellStyles>
  <dxfs count="10">
    <dxf>
      <font>
        <color rgb="FFFFFFFF"/>
      </font>
      <fill>
        <patternFill patternType="solid">
          <bgColor rgb="FF14532D"/>
        </patternFill>
      </fill>
    </dxf>
    <dxf>
      <font>
        <color rgb="FFFFFFFF"/>
      </font>
      <fill>
        <patternFill patternType="solid">
          <bgColor rgb="FF78350F"/>
        </patternFill>
      </fill>
    </dxf>
    <dxf>
      <font>
        <b/>
        <color rgb="FFFFFFFF"/>
      </font>
      <fill>
        <patternFill patternType="solid">
          <bgColor rgb="FFB45309"/>
        </patternFill>
      </fill>
    </dxf>
    <dxf>
      <font>
        <b/>
        <color rgb="FFFFFFFF"/>
      </font>
      <fill>
        <patternFill patternType="solid">
          <bgColor rgb="FF7F1D1D"/>
        </patternFill>
      </fill>
    </dxf>
    <dxf>
      <font>
        <color rgb="FFFFFFFF"/>
      </font>
      <fill>
        <patternFill patternType="solid">
          <bgColor rgb="FF14532D"/>
        </patternFill>
      </fill>
    </dxf>
    <dxf>
      <font>
        <color rgb="FFFFFFFF"/>
      </font>
      <fill>
        <patternFill patternType="solid">
          <bgColor rgb="FF78350F"/>
        </patternFill>
      </fill>
    </dxf>
    <dxf>
      <font>
        <b/>
        <color rgb="FFFFFFFF"/>
      </font>
      <fill>
        <patternFill patternType="solid">
          <bgColor rgb="FFB45309"/>
        </patternFill>
      </fill>
    </dxf>
    <dxf>
      <font>
        <b/>
        <color rgb="FFFFFFFF"/>
      </font>
      <fill>
        <patternFill patternType="solid">
          <bgColor rgb="FF7F1D1D"/>
        </patternFill>
      </fill>
    </dxf>
    <dxf>
      <font>
        <b/>
        <color rgb="FFFFFFFF"/>
      </font>
      <fill>
        <patternFill patternType="solid">
          <bgColor rgb="FF14532D"/>
        </patternFill>
      </fill>
    </dxf>
    <dxf>
      <font>
        <b/>
        <color rgb="FFFFFFFF"/>
      </font>
      <fill>
        <patternFill patternType="solid">
          <bgColor rgb="FF7F1D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Actions by Family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Dashboard!$E$14:$E$23</c:f>
              <c:strCache>
                <c:ptCount val="10"/>
                <c:pt idx="0">
                  <c:v>Action</c:v>
                </c:pt>
                <c:pt idx="1">
                  <c:v>Analyze</c:v>
                </c:pt>
                <c:pt idx="2">
                  <c:v>Automation</c:v>
                </c:pt>
                <c:pt idx="3">
                  <c:v>Govern</c:v>
                </c:pt>
                <c:pt idx="4">
                  <c:v>Inspect</c:v>
                </c:pt>
                <c:pt idx="5">
                  <c:v>Integration</c:v>
                </c:pt>
                <c:pt idx="6">
                  <c:v>Metadata</c:v>
                </c:pt>
                <c:pt idx="7">
                  <c:v>Risk</c:v>
                </c:pt>
                <c:pt idx="8">
                  <c:v>Safety</c:v>
                </c:pt>
                <c:pt idx="9">
                  <c:v>Scaffold</c:v>
                </c:pt>
              </c:strCache>
            </c:strRef>
          </c:cat>
          <c:val>
            <c:numRef>
              <c:f>Dashboard!$F$14:$F$23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E-4DE1-96DA-5043B932C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0000000}" name="RuleBuilder" displayName="RuleBuilder" ref="A4:O44">
  <tableColumns count="15">
    <tableColumn id="1" xr3:uid="{00000000-0010-0000-0000-000001000000}" name="rule_id"/>
    <tableColumn id="2" xr3:uid="{00000000-0010-0000-0000-000002000000}" name="enabled"/>
    <tableColumn id="3" xr3:uid="{00000000-0010-0000-0000-000003000000}" name="AND_OR"/>
    <tableColumn id="4" xr3:uid="{00000000-0010-0000-0000-000004000000}" name="field"/>
    <tableColumn id="5" xr3:uid="{00000000-0010-0000-0000-000005000000}" name="field_type"/>
    <tableColumn id="6" xr3:uid="{00000000-0010-0000-0000-000006000000}" name="operator"/>
    <tableColumn id="7" xr3:uid="{00000000-0010-0000-0000-000007000000}" name="operator_type"/>
    <tableColumn id="8" xr3:uid="{00000000-0010-0000-0000-000008000000}" name="operator_valid"/>
    <tableColumn id="9" xr3:uid="{00000000-0010-0000-0000-000009000000}" name="value"/>
    <tableColumn id="10" xr3:uid="{00000000-0010-0000-0000-00000A000000}" name="action"/>
    <tableColumn id="11" xr3:uid="{00000000-0010-0000-0000-00000B000000}" name="target/parameter"/>
    <tableColumn id="12" xr3:uid="{00000000-0010-0000-0000-00000C000000}" name="guardrail"/>
    <tableColumn id="13" xr3:uid="{00000000-0010-0000-0000-00000D000000}" name="view_mode"/>
    <tableColumn id="14" xr3:uid="{00000000-0010-0000-0000-00000E000000}" name="approval_mode"/>
    <tableColumn id="15" xr3:uid="{00000000-0010-0000-0000-00000F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ieldsTable" displayName="FieldsTable" ref="A4:G67">
  <tableColumns count="7">
    <tableColumn id="1" xr3:uid="{00000000-0010-0000-0100-000001000000}" name="field_id"/>
    <tableColumn id="2" xr3:uid="{00000000-0010-0000-0100-000002000000}" name="display_name"/>
    <tableColumn id="3" xr3:uid="{00000000-0010-0000-0100-000003000000}" name="data_type"/>
    <tableColumn id="4" xr3:uid="{00000000-0010-0000-0100-000004000000}" name="applies_to"/>
    <tableColumn id="5" xr3:uid="{00000000-0010-0000-0100-000005000000}" name="description"/>
    <tableColumn id="6" xr3:uid="{00000000-0010-0000-0100-000006000000}" name="example"/>
    <tableColumn id="7" xr3:uid="{00000000-0010-0000-0100-000007000000}" name="allowed_operator_i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OperatorsTable" displayName="OperatorsTable" ref="A4:E39">
  <tableColumns count="5">
    <tableColumn id="1" xr3:uid="{00000000-0010-0000-0200-000001000000}" name="operator_id"/>
    <tableColumn id="2" xr3:uid="{00000000-0010-0000-0200-000002000000}" name="label"/>
    <tableColumn id="3" xr3:uid="{00000000-0010-0000-0200-000003000000}" name="data_type"/>
    <tableColumn id="4" xr3:uid="{00000000-0010-0000-0200-000004000000}" name="description"/>
    <tableColumn id="5" xr3:uid="{00000000-0010-0000-0200-000005000000}" name="examp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ActionsMaster" displayName="ActionsMaster" ref="A4:K36">
  <tableColumns count="11">
    <tableColumn id="1" xr3:uid="{00000000-0010-0000-0300-000001000000}" name="action_id"/>
    <tableColumn id="2" xr3:uid="{00000000-0010-0000-0300-000002000000}" name="action_name"/>
    <tableColumn id="3" xr3:uid="{00000000-0010-0000-0300-000003000000}" name="action_family"/>
    <tableColumn id="4" xr3:uid="{00000000-0010-0000-0300-000004000000}" name="description"/>
    <tableColumn id="5" xr3:uid="{00000000-0010-0000-0300-000005000000}" name="destructive_level"/>
    <tableColumn id="6" xr3:uid="{00000000-0010-0000-0300-000006000000}" name="requires_preview"/>
    <tableColumn id="7" xr3:uid="{00000000-0010-0000-0300-000007000000}" name="requires_approval"/>
    <tableColumn id="8" xr3:uid="{00000000-0010-0000-0300-000008000000}" name="writes_ledger"/>
    <tableColumn id="9" xr3:uid="{00000000-0010-0000-0300-000009000000}" name="rollback_possible"/>
    <tableColumn id="10" xr3:uid="{00000000-0010-0000-0300-00000A000000}" name="default_safety"/>
    <tableColumn id="11" xr3:uid="{00000000-0010-0000-0300-00000B000000}" name="best_view_mod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ActionMapDetails" displayName="ActionMapDetails" ref="A20:I52">
  <tableColumns count="9">
    <tableColumn id="1" xr3:uid="{00000000-0010-0000-0400-000001000000}" name="action_id"/>
    <tableColumn id="2" xr3:uid="{00000000-0010-0000-0400-000002000000}" name="name"/>
    <tableColumn id="3" xr3:uid="{00000000-0010-0000-0400-000003000000}" name="family"/>
    <tableColumn id="4" xr3:uid="{00000000-0010-0000-0400-000004000000}" name="destructive"/>
    <tableColumn id="5" xr3:uid="{00000000-0010-0000-0400-000005000000}" name="preview"/>
    <tableColumn id="6" xr3:uid="{00000000-0010-0000-0400-000006000000}" name="approval"/>
    <tableColumn id="7" xr3:uid="{00000000-0010-0000-0400-000007000000}" name="rollback"/>
    <tableColumn id="8" xr3:uid="{00000000-0010-0000-0400-000008000000}" name="default_safety"/>
    <tableColumn id="9" xr3:uid="{00000000-0010-0000-0400-000009000000}" name="best_view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5000000}" name="ActionSequenceMatrix" displayName="ActionSequenceMatrix" ref="A4:J18">
  <tableColumns count="10">
    <tableColumn id="1" xr3:uid="{00000000-0010-0000-0500-000001000000}" name="action_sheet"/>
    <tableColumn id="2" xr3:uid="{00000000-0010-0000-0500-000002000000}" name="action_id"/>
    <tableColumn id="3" xr3:uid="{00000000-0010-0000-0500-000003000000}" name="title"/>
    <tableColumn id="4" xr3:uid="{00000000-0010-0000-0500-000004000000}" name="step_1"/>
    <tableColumn id="5" xr3:uid="{00000000-0010-0000-0500-000005000000}" name="step_2"/>
    <tableColumn id="6" xr3:uid="{00000000-0010-0000-0500-000006000000}" name="step_3"/>
    <tableColumn id="7" xr3:uid="{00000000-0010-0000-0500-000007000000}" name="step_4"/>
    <tableColumn id="8" xr3:uid="{00000000-0010-0000-0500-000008000000}" name="step_5"/>
    <tableColumn id="9" xr3:uid="{00000000-0010-0000-0500-000009000000}" name="default_guardrail"/>
    <tableColumn id="10" xr3:uid="{00000000-0010-0000-0500-00000A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ViewModes" displayName="ViewModes" ref="A4:G22">
  <tableColumns count="7">
    <tableColumn id="1" xr3:uid="{00000000-0010-0000-0600-000001000000}" name="view_id"/>
    <tableColumn id="2" xr3:uid="{00000000-0010-0000-0600-000002000000}" name="view_name"/>
    <tableColumn id="3" xr3:uid="{00000000-0010-0000-0600-000003000000}" name="best_for"/>
    <tableColumn id="4" xr3:uid="{00000000-0010-0000-0600-000004000000}" name="supports_preview"/>
    <tableColumn id="5" xr3:uid="{00000000-0010-0000-0600-000005000000}" name="supports_compare"/>
    <tableColumn id="6" xr3:uid="{00000000-0010-0000-0600-000006000000}" name="risk"/>
    <tableColumn id="7" xr3:uid="{00000000-0010-0000-0600-000007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Guardrails" displayName="Guardrails" ref="A4:F16">
  <tableColumns count="6">
    <tableColumn id="1" xr3:uid="{00000000-0010-0000-0700-000001000000}" name="guardrail_id"/>
    <tableColumn id="2" xr3:uid="{00000000-0010-0000-0700-000002000000}" name="name"/>
    <tableColumn id="3" xr3:uid="{00000000-0010-0000-0700-000003000000}" name="severity"/>
    <tableColumn id="4" xr3:uid="{00000000-0010-0000-0700-000004000000}" name="description"/>
    <tableColumn id="5" xr3:uid="{00000000-0010-0000-0700-000005000000}" name="applies_to"/>
    <tableColumn id="6" xr3:uid="{00000000-0010-0000-0700-000006000000}" name="default_behavio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AutomationTriggers" displayName="AutomationTriggers" ref="A4:F17">
  <tableColumns count="6">
    <tableColumn id="1" xr3:uid="{00000000-0010-0000-0800-000001000000}" name="trigger_id"/>
    <tableColumn id="2" xr3:uid="{00000000-0010-0000-0800-000002000000}" name="trigger_name"/>
    <tableColumn id="3" xr3:uid="{00000000-0010-0000-0800-000003000000}" name="event_source"/>
    <tableColumn id="4" xr3:uid="{00000000-0010-0000-0800-000004000000}" name="allowed_actions"/>
    <tableColumn id="5" xr3:uid="{00000000-0010-0000-0800-000005000000}" name="description"/>
    <tableColumn id="6" xr3:uid="{00000000-0010-0000-0800-000006000000}" name="requires_guardrail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9000000}" name="AutomationRules" displayName="AutomationRules" ref="A4:P34">
  <tableColumns count="16">
    <tableColumn id="1" xr3:uid="{00000000-0010-0000-0900-000001000000}" name="automation_id"/>
    <tableColumn id="2" xr3:uid="{00000000-0010-0000-0900-000002000000}" name="enabled"/>
    <tableColumn id="3" xr3:uid="{00000000-0010-0000-0900-000003000000}" name="trigger"/>
    <tableColumn id="4" xr3:uid="{00000000-0010-0000-0900-000004000000}" name="selection_rule_group"/>
    <tableColumn id="5" xr3:uid="{00000000-0010-0000-0900-000005000000}" name="diagnosis_required"/>
    <tableColumn id="6" xr3:uid="{00000000-0010-0000-0900-000006000000}" name="action_1"/>
    <tableColumn id="7" xr3:uid="{00000000-0010-0000-0900-000007000000}" name="action_2"/>
    <tableColumn id="8" xr3:uid="{00000000-0010-0000-0900-000008000000}" name="action_3"/>
    <tableColumn id="9" xr3:uid="{00000000-0010-0000-0900-000009000000}" name="action_4"/>
    <tableColumn id="10" xr3:uid="{00000000-0010-0000-0900-00000A000000}" name="action_5"/>
    <tableColumn id="11" xr3:uid="{00000000-0010-0000-0900-00000B000000}" name="guardrail_profile"/>
    <tableColumn id="12" xr3:uid="{00000000-0010-0000-0900-00000C000000}" name="approval_mode"/>
    <tableColumn id="13" xr3:uid="{00000000-0010-0000-0900-00000D000000}" name="view_mode"/>
    <tableColumn id="14" xr3:uid="{00000000-0010-0000-0900-00000E000000}" name="max_files_per_run"/>
    <tableColumn id="15" xr3:uid="{00000000-0010-0000-0900-00000F000000}" name="schedule"/>
    <tableColumn id="16" xr3:uid="{00000000-0010-0000-0900-000010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A000000}" name="CompatibilityMatrix" displayName="CompatibilityMatrix" ref="A4:F28">
  <tableColumns count="6">
    <tableColumn id="1" xr3:uid="{00000000-0010-0000-0A00-000001000000}" name="action_or_signal_a"/>
    <tableColumn id="2" xr3:uid="{00000000-0010-0000-0A00-000002000000}" name="action_b"/>
    <tableColumn id="3" xr3:uid="{00000000-0010-0000-0A00-000003000000}" name="compatibility"/>
    <tableColumn id="4" xr3:uid="{00000000-0010-0000-0A00-000004000000}" name="condition"/>
    <tableColumn id="5" xr3:uid="{00000000-0010-0000-0A00-000005000000}" name="risk"/>
    <tableColumn id="6" xr3:uid="{00000000-0010-0000-0A00-000006000000}" name="reas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B000000}" name="Symptoms" displayName="Symptoms" ref="A4:G44">
  <tableColumns count="7">
    <tableColumn id="1" xr3:uid="{00000000-0010-0000-0B00-000001000000}" name="symptom_id"/>
    <tableColumn id="2" xr3:uid="{00000000-0010-0000-0B00-000002000000}" name="symptom"/>
    <tableColumn id="3" xr3:uid="{00000000-0010-0000-0B00-000003000000}" name="category"/>
    <tableColumn id="4" xr3:uid="{00000000-0010-0000-0B00-000004000000}" name="severity"/>
    <tableColumn id="5" xr3:uid="{00000000-0010-0000-0B00-000005000000}" name="description"/>
    <tableColumn id="6" xr3:uid="{00000000-0010-0000-0B00-000006000000}" name="evidence_pattern"/>
    <tableColumn id="7" xr3:uid="{00000000-0010-0000-0B00-000007000000}" name="recommended_ac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C000000}" name="WorkflowTemplates" displayName="WorkflowTemplates" ref="A4:G12">
  <tableColumns count="7">
    <tableColumn id="1" xr3:uid="{00000000-0010-0000-0C00-000001000000}" name="workflow_id"/>
    <tableColumn id="2" xr3:uid="{00000000-0010-0000-0C00-000002000000}" name="workflow_name"/>
    <tableColumn id="3" xr3:uid="{00000000-0010-0000-0C00-000003000000}" name="best_for"/>
    <tableColumn id="4" xr3:uid="{00000000-0010-0000-0C00-000004000000}" name="default_sequence"/>
    <tableColumn id="5" xr3:uid="{00000000-0010-0000-0C00-000005000000}" name="guardrails"/>
    <tableColumn id="6" xr3:uid="{00000000-0010-0000-0C00-000006000000}" name="recommended_views"/>
    <tableColumn id="7" xr3:uid="{00000000-0010-0000-0C00-000007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D000000}" name="ReportSections" displayName="ReportSections" ref="A4:E18">
  <tableColumns count="5">
    <tableColumn id="1" xr3:uid="{00000000-0010-0000-0D00-000001000000}" name="section_id"/>
    <tableColumn id="2" xr3:uid="{00000000-0010-0000-0D00-000002000000}" name="section_name"/>
    <tableColumn id="3" xr3:uid="{00000000-0010-0000-0D00-000003000000}" name="audience"/>
    <tableColumn id="4" xr3:uid="{00000000-0010-0000-0D00-000004000000}" name="purpose"/>
    <tableColumn id="5" xr3:uid="{00000000-0010-0000-0D00-000005000000}" name="importanc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E000000}" name="LedgerSchema" displayName="LedgerSchema" ref="A4:E20">
  <tableColumns count="5">
    <tableColumn id="1" xr3:uid="{00000000-0010-0000-0E00-000001000000}" name="field"/>
    <tableColumn id="2" xr3:uid="{00000000-0010-0000-0E00-000002000000}" name="data_type"/>
    <tableColumn id="3" xr3:uid="{00000000-0010-0000-0E00-000003000000}" name="description"/>
    <tableColumn id="4" xr3:uid="{00000000-0010-0000-0E00-000004000000}" name="example"/>
    <tableColumn id="5" xr3:uid="{00000000-0010-0000-0E00-000005000000}" name="requiremen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F000000}" name="SimulationScenarios" displayName="SimulationScenarios" ref="A17:G22">
  <tableColumns count="7">
    <tableColumn id="1" xr3:uid="{00000000-0010-0000-0F00-000001000000}" name="Scenario"/>
    <tableColumn id="2" xr3:uid="{00000000-0010-0000-0F00-000002000000}" name="Total Files"/>
    <tableColumn id="3" xr3:uid="{00000000-0010-0000-0F00-000003000000}" name="Risk %"/>
    <tableColumn id="4" xr3:uid="{00000000-0010-0000-0F00-000004000000}" name="Low Conf %"/>
    <tableColumn id="5" xr3:uid="{00000000-0010-0000-0F00-000005000000}" name="Dup %"/>
    <tableColumn id="6" xr3:uid="{00000000-0010-0000-0F00-000006000000}" name="Unknown Groups"/>
    <tableColumn id="7" xr3:uid="{00000000-0010-0000-0F00-000007000000}" name="Recommended Mod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0000000}" name="Seq_LOOK_SCAN" displayName="Seq_LOOK_SCAN" ref="D4:I9">
  <tableColumns count="6">
    <tableColumn id="1" xr3:uid="{00000000-0010-0000-1000-000001000000}" name="Step"/>
    <tableColumn id="2" xr3:uid="{00000000-0010-0000-1000-000002000000}" name="Stage"/>
    <tableColumn id="3" xr3:uid="{00000000-0010-0000-1000-000003000000}" name="Control / Variable"/>
    <tableColumn id="4" xr3:uid="{00000000-0010-0000-1000-000004000000}" name="Guardrail"/>
    <tableColumn id="5" xr3:uid="{00000000-0010-0000-1000-000005000000}" name="Best View"/>
    <tableColumn id="6" xr3:uid="{00000000-0010-0000-1000-000006000000}" name="Outpu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1000000}" name="Seq_CLASSIFY" displayName="Seq_CLASSIFY" ref="D4:I9">
  <tableColumns count="6">
    <tableColumn id="1" xr3:uid="{00000000-0010-0000-1100-000001000000}" name="Step"/>
    <tableColumn id="2" xr3:uid="{00000000-0010-0000-1100-000002000000}" name="Stage"/>
    <tableColumn id="3" xr3:uid="{00000000-0010-0000-1100-000003000000}" name="Control / Variable"/>
    <tableColumn id="4" xr3:uid="{00000000-0010-0000-1100-000004000000}" name="Guardrail"/>
    <tableColumn id="5" xr3:uid="{00000000-0010-0000-1100-000005000000}" name="Best View"/>
    <tableColumn id="6" xr3:uid="{00000000-0010-0000-1100-000006000000}" name="Outpu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2000000}" name="Seq_TAG" displayName="Seq_TAG" ref="D4:I9">
  <tableColumns count="6">
    <tableColumn id="1" xr3:uid="{00000000-0010-0000-1200-000001000000}" name="Step"/>
    <tableColumn id="2" xr3:uid="{00000000-0010-0000-1200-000002000000}" name="Stage"/>
    <tableColumn id="3" xr3:uid="{00000000-0010-0000-1200-000003000000}" name="Control / Variable"/>
    <tableColumn id="4" xr3:uid="{00000000-0010-0000-1200-000004000000}" name="Guardrail"/>
    <tableColumn id="5" xr3:uid="{00000000-0010-0000-1200-000005000000}" name="Best View"/>
    <tableColumn id="6" xr3:uid="{00000000-0010-0000-1200-000006000000}" name="Outpu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3000000}" name="Seq_RENAME" displayName="Seq_RENAME" ref="D4:I9">
  <tableColumns count="6">
    <tableColumn id="1" xr3:uid="{00000000-0010-0000-1300-000001000000}" name="Step"/>
    <tableColumn id="2" xr3:uid="{00000000-0010-0000-1300-000002000000}" name="Stage"/>
    <tableColumn id="3" xr3:uid="{00000000-0010-0000-1300-000003000000}" name="Control / Variable"/>
    <tableColumn id="4" xr3:uid="{00000000-0010-0000-1300-000004000000}" name="Guardrail"/>
    <tableColumn id="5" xr3:uid="{00000000-0010-0000-1300-000005000000}" name="Best View"/>
    <tableColumn id="6" xr3:uid="{00000000-0010-0000-1300-000006000000}" name="Outpu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4000000}" name="Seq_MOVE" displayName="Seq_MOVE" ref="D4:I9">
  <tableColumns count="6">
    <tableColumn id="1" xr3:uid="{00000000-0010-0000-1400-000001000000}" name="Step"/>
    <tableColumn id="2" xr3:uid="{00000000-0010-0000-1400-000002000000}" name="Stage"/>
    <tableColumn id="3" xr3:uid="{00000000-0010-0000-1400-000003000000}" name="Control / Variable"/>
    <tableColumn id="4" xr3:uid="{00000000-0010-0000-1400-000004000000}" name="Guardrail"/>
    <tableColumn id="5" xr3:uid="{00000000-0010-0000-1400-000005000000}" name="Best View"/>
    <tableColumn id="6" xr3:uid="{00000000-0010-0000-1400-000006000000}" name="Outpu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5000000}" name="Seq_COPY" displayName="Seq_COPY" ref="D4:I9">
  <tableColumns count="6">
    <tableColumn id="1" xr3:uid="{00000000-0010-0000-1500-000001000000}" name="Step"/>
    <tableColumn id="2" xr3:uid="{00000000-0010-0000-1500-000002000000}" name="Stage"/>
    <tableColumn id="3" xr3:uid="{00000000-0010-0000-1500-000003000000}" name="Control / Variable"/>
    <tableColumn id="4" xr3:uid="{00000000-0010-0000-1500-000004000000}" name="Guardrail"/>
    <tableColumn id="5" xr3:uid="{00000000-0010-0000-1500-000005000000}" name="Best View"/>
    <tableColumn id="6" xr3:uid="{00000000-0010-0000-1500-000006000000}" name="Outpu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6000000}" name="Seq_ARCHIVE" displayName="Seq_ARCHIVE" ref="D4:I9">
  <tableColumns count="6">
    <tableColumn id="1" xr3:uid="{00000000-0010-0000-1600-000001000000}" name="Step"/>
    <tableColumn id="2" xr3:uid="{00000000-0010-0000-1600-000002000000}" name="Stage"/>
    <tableColumn id="3" xr3:uid="{00000000-0010-0000-1600-000003000000}" name="Control / Variable"/>
    <tableColumn id="4" xr3:uid="{00000000-0010-0000-1600-000004000000}" name="Guardrail"/>
    <tableColumn id="5" xr3:uid="{00000000-0010-0000-1600-000005000000}" name="Best View"/>
    <tableColumn id="6" xr3:uid="{00000000-0010-0000-1600-000006000000}" name="Outpu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7000000}" name="Seq_DELETE_LATER" displayName="Seq_DELETE_LATER" ref="D4:I9">
  <tableColumns count="6">
    <tableColumn id="1" xr3:uid="{00000000-0010-0000-1700-000001000000}" name="Step"/>
    <tableColumn id="2" xr3:uid="{00000000-0010-0000-1700-000002000000}" name="Stage"/>
    <tableColumn id="3" xr3:uid="{00000000-0010-0000-1700-000003000000}" name="Control / Variable"/>
    <tableColumn id="4" xr3:uid="{00000000-0010-0000-1700-000004000000}" name="Guardrail"/>
    <tableColumn id="5" xr3:uid="{00000000-0010-0000-1700-000005000000}" name="Best View"/>
    <tableColumn id="6" xr3:uid="{00000000-0010-0000-1700-000006000000}" name="Outpu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8000000}" name="Seq_PROTECT" displayName="Seq_PROTECT" ref="D4:I9">
  <tableColumns count="6">
    <tableColumn id="1" xr3:uid="{00000000-0010-0000-1800-000001000000}" name="Step"/>
    <tableColumn id="2" xr3:uid="{00000000-0010-0000-1800-000002000000}" name="Stage"/>
    <tableColumn id="3" xr3:uid="{00000000-0010-0000-1800-000003000000}" name="Control / Variable"/>
    <tableColumn id="4" xr3:uid="{00000000-0010-0000-1800-000004000000}" name="Guardrail"/>
    <tableColumn id="5" xr3:uid="{00000000-0010-0000-1800-000005000000}" name="Best View"/>
    <tableColumn id="6" xr3:uid="{00000000-0010-0000-1800-000006000000}" name="Outpu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9000000}" name="Seq_COMPARE_DEDUPE" displayName="Seq_COMPARE_DEDUPE" ref="D4:I9">
  <tableColumns count="6">
    <tableColumn id="1" xr3:uid="{00000000-0010-0000-1900-000001000000}" name="Step"/>
    <tableColumn id="2" xr3:uid="{00000000-0010-0000-1900-000002000000}" name="Stage"/>
    <tableColumn id="3" xr3:uid="{00000000-0010-0000-1900-000003000000}" name="Control / Variable"/>
    <tableColumn id="4" xr3:uid="{00000000-0010-0000-1900-000004000000}" name="Guardrail"/>
    <tableColumn id="5" xr3:uid="{00000000-0010-0000-1900-000005000000}" name="Best View"/>
    <tableColumn id="6" xr3:uid="{00000000-0010-0000-1900-000006000000}" name="Outpu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A000000}" name="Seq_SIDECAR" displayName="Seq_SIDECAR" ref="D4:I9">
  <tableColumns count="6">
    <tableColumn id="1" xr3:uid="{00000000-0010-0000-1A00-000001000000}" name="Step"/>
    <tableColumn id="2" xr3:uid="{00000000-0010-0000-1A00-000002000000}" name="Stage"/>
    <tableColumn id="3" xr3:uid="{00000000-0010-0000-1A00-000003000000}" name="Control / Variable"/>
    <tableColumn id="4" xr3:uid="{00000000-0010-0000-1A00-000004000000}" name="Guardrail"/>
    <tableColumn id="5" xr3:uid="{00000000-0010-0000-1A00-000005000000}" name="Best View"/>
    <tableColumn id="6" xr3:uid="{00000000-0010-0000-1A00-000006000000}" name="Outpu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B000000}" name="Seq_REPORT" displayName="Seq_REPORT" ref="D4:I9">
  <tableColumns count="6">
    <tableColumn id="1" xr3:uid="{00000000-0010-0000-1B00-000001000000}" name="Step"/>
    <tableColumn id="2" xr3:uid="{00000000-0010-0000-1B00-000002000000}" name="Stage"/>
    <tableColumn id="3" xr3:uid="{00000000-0010-0000-1B00-000003000000}" name="Control / Variable"/>
    <tableColumn id="4" xr3:uid="{00000000-0010-0000-1B00-000004000000}" name="Guardrail"/>
    <tableColumn id="5" xr3:uid="{00000000-0010-0000-1B00-000005000000}" name="Best View"/>
    <tableColumn id="6" xr3:uid="{00000000-0010-0000-1B00-000006000000}" name="Outpu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C000000}" name="Seq_AUTOMATION" displayName="Seq_AUTOMATION" ref="D4:I9">
  <tableColumns count="6">
    <tableColumn id="1" xr3:uid="{00000000-0010-0000-1C00-000001000000}" name="Step"/>
    <tableColumn id="2" xr3:uid="{00000000-0010-0000-1C00-000002000000}" name="Stage"/>
    <tableColumn id="3" xr3:uid="{00000000-0010-0000-1C00-000003000000}" name="Control / Variable"/>
    <tableColumn id="4" xr3:uid="{00000000-0010-0000-1C00-000004000000}" name="Guardrail"/>
    <tableColumn id="5" xr3:uid="{00000000-0010-0000-1C00-000005000000}" name="Best View"/>
    <tableColumn id="6" xr3:uid="{00000000-0010-0000-1C00-000006000000}" name="Outpu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D000000}" name="Seq_ANALYZE_EXTRACT" displayName="Seq_ANALYZE_EXTRACT" ref="D4:I9">
  <tableColumns count="6">
    <tableColumn id="1" xr3:uid="{00000000-0010-0000-1D00-000001000000}" name="Step"/>
    <tableColumn id="2" xr3:uid="{00000000-0010-0000-1D00-000002000000}" name="Stage"/>
    <tableColumn id="3" xr3:uid="{00000000-0010-0000-1D00-000003000000}" name="Control / Variable"/>
    <tableColumn id="4" xr3:uid="{00000000-0010-0000-1D00-000004000000}" name="Guardrail"/>
    <tableColumn id="5" xr3:uid="{00000000-0010-0000-1D00-000005000000}" name="Best View"/>
    <tableColumn id="6" xr3:uid="{00000000-0010-0000-1D00-000006000000}" name="Output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FieldOperatorMap" displayName="FieldOperatorMap" ref="A4:F323">
  <tableColumns count="6">
    <tableColumn id="1" xr3:uid="{00000000-0010-0000-1E00-000001000000}" name="field_id"/>
    <tableColumn id="2" xr3:uid="{00000000-0010-0000-1E00-000002000000}" name="display_name"/>
    <tableColumn id="3" xr3:uid="{00000000-0010-0000-1E00-000003000000}" name="data_type"/>
    <tableColumn id="4" xr3:uid="{00000000-0010-0000-1E00-000004000000}" name="operator_id"/>
    <tableColumn id="5" xr3:uid="{00000000-0010-0000-1E00-000005000000}" name="operator_label"/>
    <tableColumn id="6" xr3:uid="{00000000-0010-0000-1E00-000006000000}" name="operator_data_typ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ActionConditions" displayName="ActionConditions" ref="A4:H18">
  <tableColumns count="8">
    <tableColumn id="1" xr3:uid="{00000000-0010-0000-1F00-000001000000}" name="action_id"/>
    <tableColumn id="2" xr3:uid="{00000000-0010-0000-1F00-000002000000}" name="required_inputs"/>
    <tableColumn id="3" xr3:uid="{00000000-0010-0000-1F00-000003000000}" name="required_preconditions"/>
    <tableColumn id="4" xr3:uid="{00000000-0010-0000-1F00-000004000000}" name="blocked_if"/>
    <tableColumn id="5" xr3:uid="{00000000-0010-0000-1F00-000005000000}" name="required_guardrails"/>
    <tableColumn id="6" xr3:uid="{00000000-0010-0000-1F00-000006000000}" name="minimum_view"/>
    <tableColumn id="7" xr3:uid="{00000000-0010-0000-1F00-000007000000}" name="approval_default"/>
    <tableColumn id="8" xr3:uid="{00000000-0010-0000-1F00-000008000000}" name="note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RoutineBuilder" displayName="RoutineBuilder" ref="A4:M34">
  <tableColumns count="13">
    <tableColumn id="1" xr3:uid="{00000000-0010-0000-2000-000001000000}" name="routine_id"/>
    <tableColumn id="2" xr3:uid="{00000000-0010-0000-2000-000002000000}" name="enabled"/>
    <tableColumn id="3" xr3:uid="{00000000-0010-0000-2000-000003000000}" name="routine_name"/>
    <tableColumn id="4" xr3:uid="{00000000-0010-0000-2000-000004000000}" name="step_1"/>
    <tableColumn id="5" xr3:uid="{00000000-0010-0000-2000-000005000000}" name="step_2"/>
    <tableColumn id="6" xr3:uid="{00000000-0010-0000-2000-000006000000}" name="step_3"/>
    <tableColumn id="7" xr3:uid="{00000000-0010-0000-2000-000007000000}" name="step_4"/>
    <tableColumn id="8" xr3:uid="{00000000-0010-0000-2000-000008000000}" name="step_5"/>
    <tableColumn id="9" xr3:uid="{00000000-0010-0000-2000-000009000000}" name="step_6"/>
    <tableColumn id="10" xr3:uid="{00000000-0010-0000-2000-00000A000000}" name="approval_mode"/>
    <tableColumn id="11" xr3:uid="{00000000-0010-0000-2000-00000B000000}" name="view_mode"/>
    <tableColumn id="12" xr3:uid="{00000000-0010-0000-2000-00000C000000}" name="guardrail_profile"/>
    <tableColumn id="13" xr3:uid="{00000000-0010-0000-2000-00000D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537982-ED31-41E3-BB32-6BE52F6FC8D1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f427413-7aa7-46b4-bf8a-90162e931f2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workbookViewId="0">
      <selection sqref="A1:L1"/>
    </sheetView>
  </sheetViews>
  <sheetFormatPr defaultRowHeight="13.8"/>
  <cols>
    <col min="1" max="1" width="24" customWidth="1"/>
    <col min="2" max="2" width="14" customWidth="1"/>
    <col min="3" max="3" width="52" customWidth="1"/>
    <col min="4" max="4" width="3" customWidth="1"/>
    <col min="5" max="12" width="22" customWidth="1"/>
  </cols>
  <sheetData>
    <row r="1" spans="1:12" ht="22.3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2.35" customHeight="1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2">
      <c r="A4" s="10" t="s">
        <v>2</v>
      </c>
      <c r="B4" s="10" t="s">
        <v>3</v>
      </c>
      <c r="C4" s="10" t="s">
        <v>4</v>
      </c>
      <c r="E4" s="12" t="s">
        <v>5</v>
      </c>
      <c r="F4" s="12" t="s">
        <v>6</v>
      </c>
      <c r="G4" s="12" t="s">
        <v>7</v>
      </c>
      <c r="H4" s="12"/>
    </row>
    <row r="5" spans="1:12" ht="42">
      <c r="A5" s="3" t="s">
        <v>8</v>
      </c>
      <c r="B5" s="11">
        <f>COUNTA(Fields!A5:A67)</f>
        <v>63</v>
      </c>
      <c r="C5" s="3" t="s">
        <v>9</v>
      </c>
      <c r="E5" s="13" t="s">
        <v>10</v>
      </c>
      <c r="F5" s="3" t="s">
        <v>11</v>
      </c>
      <c r="G5" s="3" t="s">
        <v>12</v>
      </c>
      <c r="H5" s="3"/>
    </row>
    <row r="6" spans="1:12" ht="28.2">
      <c r="A6" s="3" t="s">
        <v>13</v>
      </c>
      <c r="B6" s="11">
        <f>COUNTA(Operators!A5:A39)</f>
        <v>35</v>
      </c>
      <c r="C6" s="3" t="s">
        <v>14</v>
      </c>
      <c r="E6" s="13" t="s">
        <v>15</v>
      </c>
      <c r="F6" s="3" t="s">
        <v>16</v>
      </c>
      <c r="G6" s="3" t="s">
        <v>17</v>
      </c>
      <c r="H6" s="3"/>
    </row>
    <row r="7" spans="1:12" ht="28.2">
      <c r="A7" s="3" t="s">
        <v>18</v>
      </c>
      <c r="B7" s="11">
        <f>COUNTA(Actions_Master!A5:A36)</f>
        <v>32</v>
      </c>
      <c r="C7" s="3" t="s">
        <v>19</v>
      </c>
      <c r="E7" s="13" t="s">
        <v>20</v>
      </c>
      <c r="F7" s="3" t="s">
        <v>21</v>
      </c>
      <c r="G7" s="3" t="s">
        <v>22</v>
      </c>
      <c r="H7" s="3"/>
    </row>
    <row r="8" spans="1:12" ht="42">
      <c r="A8" s="3" t="s">
        <v>23</v>
      </c>
      <c r="B8" s="11">
        <f>COUNTA(Guardrails!A5:A16)</f>
        <v>12</v>
      </c>
      <c r="C8" s="3" t="s">
        <v>24</v>
      </c>
      <c r="E8" s="13" t="s">
        <v>25</v>
      </c>
      <c r="F8" s="3" t="s">
        <v>26</v>
      </c>
      <c r="G8" s="3" t="s">
        <v>27</v>
      </c>
      <c r="H8" s="3"/>
    </row>
    <row r="9" spans="1:12" ht="55.8">
      <c r="A9" s="3" t="s">
        <v>28</v>
      </c>
      <c r="B9" s="11">
        <f>COUNTA(Symptoms!A5:A44)</f>
        <v>40</v>
      </c>
      <c r="C9" s="3" t="s">
        <v>29</v>
      </c>
      <c r="E9" s="13" t="s">
        <v>30</v>
      </c>
      <c r="F9" s="3" t="s">
        <v>31</v>
      </c>
      <c r="G9" s="3" t="s">
        <v>32</v>
      </c>
      <c r="H9" s="3"/>
    </row>
    <row r="10" spans="1:12" ht="28.2">
      <c r="A10" s="3" t="s">
        <v>33</v>
      </c>
      <c r="B10" s="11">
        <f>COUNTA(Workflow_Templates!A5:A12)</f>
        <v>8</v>
      </c>
      <c r="C10" s="3" t="s">
        <v>34</v>
      </c>
      <c r="E10" s="13" t="s">
        <v>35</v>
      </c>
      <c r="F10" s="3" t="s">
        <v>36</v>
      </c>
      <c r="G10" s="3" t="s">
        <v>37</v>
      </c>
      <c r="H10" s="3"/>
    </row>
    <row r="11" spans="1:12" ht="17.399999999999999">
      <c r="A11" s="3" t="s">
        <v>38</v>
      </c>
      <c r="B11" s="11">
        <f>COUNTA(Compatibility_Matrix!A5:A28)</f>
        <v>24</v>
      </c>
      <c r="C11" s="3" t="s">
        <v>39</v>
      </c>
    </row>
    <row r="13" spans="1:12">
      <c r="E13" s="16" t="s">
        <v>40</v>
      </c>
      <c r="F13" s="16" t="s">
        <v>41</v>
      </c>
    </row>
    <row r="14" spans="1:12">
      <c r="A14" s="24" t="s">
        <v>42</v>
      </c>
      <c r="B14" s="22"/>
      <c r="C14" s="22"/>
      <c r="D14" s="22"/>
      <c r="E14" t="s">
        <v>43</v>
      </c>
      <c r="F14">
        <f>COUNTIF(Actions_Master!C5:C36,"Action")</f>
        <v>5</v>
      </c>
    </row>
    <row r="15" spans="1:12">
      <c r="A15" s="25" t="s">
        <v>44</v>
      </c>
      <c r="B15" s="22"/>
      <c r="C15" s="22"/>
      <c r="D15" s="22"/>
      <c r="E15" t="s">
        <v>45</v>
      </c>
      <c r="F15">
        <f>COUNTIF(Actions_Master!C5:C36,"Analyze")</f>
        <v>6</v>
      </c>
    </row>
    <row r="16" spans="1:12">
      <c r="A16" s="22" t="s">
        <v>46</v>
      </c>
      <c r="B16" s="22"/>
      <c r="C16" s="22"/>
      <c r="D16" s="22"/>
      <c r="E16" t="s">
        <v>47</v>
      </c>
      <c r="F16">
        <f>COUNTIF(Actions_Master!C5:C36,"Automation")</f>
        <v>3</v>
      </c>
    </row>
    <row r="17" spans="1:6">
      <c r="A17" s="22" t="s">
        <v>48</v>
      </c>
      <c r="B17" s="22"/>
      <c r="C17" s="22"/>
      <c r="D17" s="22"/>
      <c r="E17" t="s">
        <v>49</v>
      </c>
      <c r="F17">
        <f>COUNTIF(Actions_Master!C5:C36,"Govern")</f>
        <v>1</v>
      </c>
    </row>
    <row r="18" spans="1:6">
      <c r="A18" s="22" t="s">
        <v>50</v>
      </c>
      <c r="B18" s="22"/>
      <c r="C18" s="22"/>
      <c r="D18" s="22"/>
      <c r="E18" t="s">
        <v>51</v>
      </c>
      <c r="F18">
        <f>COUNTIF(Actions_Master!C5:C36,"Inspect")</f>
        <v>4</v>
      </c>
    </row>
    <row r="19" spans="1:6">
      <c r="E19" t="s">
        <v>52</v>
      </c>
      <c r="F19">
        <f>COUNTIF(Actions_Master!C5:C36,"Integration")</f>
        <v>3</v>
      </c>
    </row>
    <row r="20" spans="1:6">
      <c r="E20" t="s">
        <v>53</v>
      </c>
      <c r="F20">
        <f>COUNTIF(Actions_Master!C5:C36,"Metadata")</f>
        <v>3</v>
      </c>
    </row>
    <row r="21" spans="1:6">
      <c r="E21" t="s">
        <v>54</v>
      </c>
      <c r="F21">
        <f>COUNTIF(Actions_Master!C5:C36,"Risk")</f>
        <v>2</v>
      </c>
    </row>
    <row r="22" spans="1:6">
      <c r="E22" t="s">
        <v>55</v>
      </c>
      <c r="F22">
        <f>COUNTIF(Actions_Master!C5:C36,"Safety")</f>
        <v>2</v>
      </c>
    </row>
    <row r="23" spans="1:6">
      <c r="E23" t="s">
        <v>56</v>
      </c>
      <c r="F23">
        <f>COUNTIF(Actions_Master!C5:C36,"Scaffold")</f>
        <v>3</v>
      </c>
    </row>
  </sheetData>
  <mergeCells count="4">
    <mergeCell ref="A1:L1"/>
    <mergeCell ref="A2:L2"/>
    <mergeCell ref="A14:D14"/>
    <mergeCell ref="A15:D18"/>
  </mergeCells>
  <conditionalFormatting sqref="B5:B11">
    <cfRule type="dataBar" priority="1">
      <dataBar>
        <cfvo type="min"/>
        <cfvo type="max"/>
        <color rgb="FFD4AF37"/>
      </dataBar>
    </cfRule>
    <cfRule type="dataBar" priority="3">
      <dataBar>
        <cfvo type="min"/>
        <cfvo type="max"/>
        <color rgb="FFD4AF37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F14:F23">
    <cfRule type="dataBar" priority="2">
      <dataBar>
        <cfvo type="min"/>
        <cfvo type="max"/>
        <color rgb="FFA855F7"/>
      </dataBar>
    </cfRule>
    <cfRule type="dataBar" priority="4">
      <dataBar>
        <cfvo type="min"/>
        <cfvo type="max"/>
        <color rgb="FFA855F7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B5:B11</xm:sqref>
        </x14:conditionalFormatting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F14:F23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4"/>
  <sheetViews>
    <sheetView workbookViewId="0">
      <selection sqref="A1:N1"/>
    </sheetView>
  </sheetViews>
  <sheetFormatPr defaultRowHeight="13.8"/>
  <cols>
    <col min="1" max="1" width="14" customWidth="1"/>
    <col min="2" max="3" width="10" customWidth="1"/>
    <col min="4" max="4" width="20" customWidth="1"/>
    <col min="5" max="5" width="14" customWidth="1"/>
    <col min="6" max="6" width="18" customWidth="1"/>
    <col min="7" max="7" width="14" customWidth="1"/>
    <col min="8" max="8" width="16" customWidth="1"/>
    <col min="9" max="9" width="28" customWidth="1"/>
    <col min="10" max="10" width="18" customWidth="1"/>
    <col min="11" max="11" width="32" customWidth="1"/>
    <col min="12" max="12" width="18" customWidth="1"/>
    <col min="13" max="13" width="20" customWidth="1"/>
    <col min="14" max="14" width="22" customWidth="1"/>
    <col min="15" max="15" width="40" customWidth="1"/>
  </cols>
  <sheetData>
    <row r="1" spans="1:15" ht="22.35" customHeight="1">
      <c r="A1" s="21" t="s">
        <v>57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5" ht="22.35" customHeight="1">
      <c r="A2" s="23" t="s">
        <v>58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4" spans="1:15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70</v>
      </c>
      <c r="M4" s="2" t="s">
        <v>71</v>
      </c>
      <c r="N4" s="2" t="s">
        <v>72</v>
      </c>
      <c r="O4" s="2" t="s">
        <v>73</v>
      </c>
    </row>
    <row r="5" spans="1:15">
      <c r="A5" s="3" t="s">
        <v>74</v>
      </c>
      <c r="B5" s="3" t="s">
        <v>75</v>
      </c>
      <c r="C5" s="3" t="s">
        <v>76</v>
      </c>
      <c r="D5" s="3" t="s">
        <v>77</v>
      </c>
      <c r="E5" s="3" t="str">
        <f>IFERROR(INDEX(Fields!$C$5:$C$67,MATCH(D5,Fields!$A$5:$A$67,0)),"")</f>
        <v>text</v>
      </c>
      <c r="F5" s="3" t="s">
        <v>78</v>
      </c>
      <c r="G5" s="3" t="str">
        <f>IFERROR(INDEX(Operators!$C$5:$C$39,MATCH(F5,Operators!$B$5:$B$39,0)),"")</f>
        <v>text</v>
      </c>
      <c r="H5" s="3" t="str">
        <f>IF(D5="","",IF(F5="","",IF(ISNUMBER(SEARCH(INDEX(Operators!$A$5:$A$39,MATCH(F5,Operators!$B$5:$B$39,0)),INDEX(Fields!$G$5:$G$67,MATCH(D5,Fields!$A$5:$A$67,0)))),"OK","CHECK")))</f>
        <v>OK</v>
      </c>
      <c r="I5" s="3" t="s">
        <v>79</v>
      </c>
      <c r="J5" s="3" t="s">
        <v>80</v>
      </c>
      <c r="K5" s="3"/>
      <c r="L5" s="3" t="s">
        <v>81</v>
      </c>
      <c r="M5" s="3" t="s">
        <v>82</v>
      </c>
      <c r="N5" s="3" t="s">
        <v>83</v>
      </c>
      <c r="O5" s="3" t="s">
        <v>84</v>
      </c>
    </row>
    <row r="6" spans="1:15">
      <c r="A6" s="3" t="s">
        <v>85</v>
      </c>
      <c r="B6" s="3" t="s">
        <v>75</v>
      </c>
      <c r="C6" s="3" t="s">
        <v>76</v>
      </c>
      <c r="D6" s="3" t="s">
        <v>86</v>
      </c>
      <c r="E6" s="3" t="str">
        <f>IFERROR(INDEX(Fields!$C$5:$C$67,MATCH(D6,Fields!$A$5:$A$67,0)),"")</f>
        <v>category</v>
      </c>
      <c r="F6" s="3" t="s">
        <v>87</v>
      </c>
      <c r="G6" s="3" t="str">
        <f>IFERROR(INDEX(Operators!$C$5:$C$39,MATCH(F6,Operators!$B$5:$B$39,0)),"")</f>
        <v>category</v>
      </c>
      <c r="H6" s="3" t="str">
        <f>IF(D6="","",IF(F6="","",IF(ISNUMBER(SEARCH(INDEX(Operators!$A$5:$A$39,MATCH(F6,Operators!$B$5:$B$39,0)),INDEX(Fields!$G$5:$G$67,MATCH(D6,Fields!$A$5:$A$67,0)))),"OK","CHECK")))</f>
        <v>OK</v>
      </c>
      <c r="I6" s="3" t="s">
        <v>88</v>
      </c>
      <c r="J6" s="3" t="s">
        <v>89</v>
      </c>
      <c r="K6" s="3" t="s">
        <v>90</v>
      </c>
      <c r="L6" s="3" t="s">
        <v>81</v>
      </c>
      <c r="M6" s="3" t="s">
        <v>91</v>
      </c>
      <c r="N6" s="3" t="s">
        <v>92</v>
      </c>
      <c r="O6" s="3" t="s">
        <v>93</v>
      </c>
    </row>
    <row r="7" spans="1:15">
      <c r="A7" s="3" t="s">
        <v>94</v>
      </c>
      <c r="B7" s="3" t="s">
        <v>75</v>
      </c>
      <c r="C7" s="3" t="s">
        <v>76</v>
      </c>
      <c r="D7" s="3" t="s">
        <v>95</v>
      </c>
      <c r="E7" s="3" t="str">
        <f>IFERROR(INDEX(Fields!$C$5:$C$67,MATCH(D7,Fields!$A$5:$A$67,0)),"")</f>
        <v>date</v>
      </c>
      <c r="F7" s="3" t="s">
        <v>96</v>
      </c>
      <c r="G7" s="3" t="str">
        <f>IFERROR(INDEX(Operators!$C$5:$C$39,MATCH(F7,Operators!$B$5:$B$39,0)),"")</f>
        <v>date</v>
      </c>
      <c r="H7" s="3" t="str">
        <f>IF(D7="","",IF(F7="","",IF(ISNUMBER(SEARCH(INDEX(Operators!$A$5:$A$39,MATCH(F7,Operators!$B$5:$B$39,0)),INDEX(Fields!$G$5:$G$67,MATCH(D7,Fields!$A$5:$A$67,0)))),"OK","CHECK")))</f>
        <v>OK</v>
      </c>
      <c r="I7" s="3" t="s">
        <v>97</v>
      </c>
      <c r="J7" s="3" t="s">
        <v>98</v>
      </c>
      <c r="K7" s="3" t="s">
        <v>99</v>
      </c>
      <c r="L7" s="3" t="s">
        <v>81</v>
      </c>
      <c r="M7" s="3" t="s">
        <v>82</v>
      </c>
      <c r="N7" s="3" t="s">
        <v>92</v>
      </c>
      <c r="O7" s="3" t="s">
        <v>100</v>
      </c>
    </row>
    <row r="8" spans="1:15">
      <c r="A8" s="3" t="s">
        <v>101</v>
      </c>
      <c r="B8" s="3" t="s">
        <v>75</v>
      </c>
      <c r="C8" s="3" t="s">
        <v>76</v>
      </c>
      <c r="D8" s="3" t="s">
        <v>102</v>
      </c>
      <c r="E8" s="3" t="str">
        <f>IFERROR(INDEX(Fields!$C$5:$C$67,MATCH(D8,Fields!$A$5:$A$67,0)),"")</f>
        <v>text</v>
      </c>
      <c r="F8" s="3" t="s">
        <v>103</v>
      </c>
      <c r="G8" s="3" t="str">
        <f>IFERROR(INDEX(Operators!$C$5:$C$39,MATCH(F8,Operators!$B$5:$B$39,0)),"")</f>
        <v>text</v>
      </c>
      <c r="H8" s="3" t="str">
        <f>IF(D8="","",IF(F8="","",IF(ISNUMBER(SEARCH(INDEX(Operators!$A$5:$A$39,MATCH(F8,Operators!$B$5:$B$39,0)),INDEX(Fields!$G$5:$G$67,MATCH(D8,Fields!$A$5:$A$67,0)))),"OK","CHECK")))</f>
        <v>OK</v>
      </c>
      <c r="I8" s="3" t="s">
        <v>104</v>
      </c>
      <c r="J8" s="3" t="s">
        <v>105</v>
      </c>
      <c r="K8" s="3" t="s">
        <v>106</v>
      </c>
      <c r="L8" s="3" t="s">
        <v>107</v>
      </c>
      <c r="M8" s="3" t="s">
        <v>108</v>
      </c>
      <c r="N8" s="3" t="s">
        <v>83</v>
      </c>
      <c r="O8" s="3" t="s">
        <v>109</v>
      </c>
    </row>
    <row r="9" spans="1:15">
      <c r="A9" s="3" t="s">
        <v>110</v>
      </c>
      <c r="B9" s="3" t="s">
        <v>75</v>
      </c>
      <c r="C9" s="3" t="s">
        <v>76</v>
      </c>
      <c r="D9" s="3" t="s">
        <v>111</v>
      </c>
      <c r="E9" s="3" t="str">
        <f>IFERROR(INDEX(Fields!$C$5:$C$67,MATCH(D9,Fields!$A$5:$A$67,0)),"")</f>
        <v>category</v>
      </c>
      <c r="F9" s="3" t="s">
        <v>87</v>
      </c>
      <c r="G9" s="3" t="str">
        <f>IFERROR(INDEX(Operators!$C$5:$C$39,MATCH(F9,Operators!$B$5:$B$39,0)),"")</f>
        <v>category</v>
      </c>
      <c r="H9" s="3" t="str">
        <f>IF(D9="","",IF(F9="","",IF(ISNUMBER(SEARCH(INDEX(Operators!$A$5:$A$39,MATCH(F9,Operators!$B$5:$B$39,0)),INDEX(Fields!$G$5:$G$67,MATCH(D9,Fields!$A$5:$A$67,0)))),"OK","CHECK")))</f>
        <v>OK</v>
      </c>
      <c r="I9" s="3" t="s">
        <v>112</v>
      </c>
      <c r="J9" s="3" t="s">
        <v>113</v>
      </c>
      <c r="K9" s="3" t="s">
        <v>114</v>
      </c>
      <c r="L9" s="3" t="s">
        <v>115</v>
      </c>
      <c r="M9" s="3" t="s">
        <v>82</v>
      </c>
      <c r="N9" s="3" t="s">
        <v>116</v>
      </c>
      <c r="O9" s="3" t="s">
        <v>117</v>
      </c>
    </row>
    <row r="10" spans="1:15">
      <c r="A10" s="3" t="s">
        <v>118</v>
      </c>
      <c r="B10" s="3" t="s">
        <v>119</v>
      </c>
      <c r="C10" s="3" t="s">
        <v>76</v>
      </c>
      <c r="D10" s="3"/>
      <c r="E10" s="3" t="str">
        <f>IFERROR(INDEX(Fields!$C$5:$C$67,MATCH(D10,Fields!$A$5:$A$67,0)),"")</f>
        <v/>
      </c>
      <c r="F10" s="3"/>
      <c r="G10" s="3" t="str">
        <f>IFERROR(INDEX(Operators!$C$5:$C$39,MATCH(F10,Operators!$B$5:$B$39,0)),"")</f>
        <v/>
      </c>
      <c r="H10" s="3" t="str">
        <f>IF(D10="","",IF(F10="","",IF(ISNUMBER(SEARCH(INDEX(Operators!$A$5:$A$39,MATCH(F10,Operators!$B$5:$B$39,0)),INDEX(Fields!$G$5:$G$67,MATCH(D10,Fields!$A$5:$A$67,0)))),"OK","CHECK")))</f>
        <v/>
      </c>
      <c r="I10" s="3"/>
      <c r="J10" s="3"/>
      <c r="K10" s="3"/>
      <c r="L10" s="3"/>
      <c r="M10" s="3"/>
      <c r="N10" s="3"/>
      <c r="O10" s="3"/>
    </row>
    <row r="11" spans="1:15">
      <c r="A11" s="3" t="s">
        <v>120</v>
      </c>
      <c r="B11" s="3" t="s">
        <v>119</v>
      </c>
      <c r="C11" s="3" t="s">
        <v>76</v>
      </c>
      <c r="D11" s="3"/>
      <c r="E11" s="3" t="str">
        <f>IFERROR(INDEX(Fields!$C$5:$C$67,MATCH(D11,Fields!$A$5:$A$67,0)),"")</f>
        <v/>
      </c>
      <c r="F11" s="3"/>
      <c r="G11" s="3" t="str">
        <f>IFERROR(INDEX(Operators!$C$5:$C$39,MATCH(F11,Operators!$B$5:$B$39,0)),"")</f>
        <v/>
      </c>
      <c r="H11" s="3" t="str">
        <f>IF(D11="","",IF(F11="","",IF(ISNUMBER(SEARCH(INDEX(Operators!$A$5:$A$39,MATCH(F11,Operators!$B$5:$B$39,0)),INDEX(Fields!$G$5:$G$67,MATCH(D11,Fields!$A$5:$A$67,0)))),"OK","CHECK")))</f>
        <v/>
      </c>
      <c r="I11" s="3"/>
      <c r="J11" s="3"/>
      <c r="K11" s="3"/>
      <c r="L11" s="3"/>
      <c r="M11" s="3"/>
      <c r="N11" s="3"/>
      <c r="O11" s="3"/>
    </row>
    <row r="12" spans="1:15">
      <c r="A12" s="3" t="s">
        <v>121</v>
      </c>
      <c r="B12" s="3" t="s">
        <v>119</v>
      </c>
      <c r="C12" s="3" t="s">
        <v>76</v>
      </c>
      <c r="D12" s="3"/>
      <c r="E12" s="3" t="str">
        <f>IFERROR(INDEX(Fields!$C$5:$C$67,MATCH(D12,Fields!$A$5:$A$67,0)),"")</f>
        <v/>
      </c>
      <c r="F12" s="3"/>
      <c r="G12" s="3" t="str">
        <f>IFERROR(INDEX(Operators!$C$5:$C$39,MATCH(F12,Operators!$B$5:$B$39,0)),"")</f>
        <v/>
      </c>
      <c r="H12" s="3" t="str">
        <f>IF(D12="","",IF(F12="","",IF(ISNUMBER(SEARCH(INDEX(Operators!$A$5:$A$39,MATCH(F12,Operators!$B$5:$B$39,0)),INDEX(Fields!$G$5:$G$67,MATCH(D12,Fields!$A$5:$A$67,0)))),"OK","CHECK")))</f>
        <v/>
      </c>
      <c r="I12" s="3"/>
      <c r="J12" s="3"/>
      <c r="K12" s="3"/>
      <c r="L12" s="3"/>
      <c r="M12" s="3"/>
      <c r="N12" s="3"/>
      <c r="O12" s="3"/>
    </row>
    <row r="13" spans="1:15">
      <c r="A13" s="3" t="s">
        <v>122</v>
      </c>
      <c r="B13" s="3" t="s">
        <v>119</v>
      </c>
      <c r="C13" s="3" t="s">
        <v>76</v>
      </c>
      <c r="D13" s="3"/>
      <c r="E13" s="3" t="str">
        <f>IFERROR(INDEX(Fields!$C$5:$C$67,MATCH(D13,Fields!$A$5:$A$67,0)),"")</f>
        <v/>
      </c>
      <c r="F13" s="3"/>
      <c r="G13" s="3" t="str">
        <f>IFERROR(INDEX(Operators!$C$5:$C$39,MATCH(F13,Operators!$B$5:$B$39,0)),"")</f>
        <v/>
      </c>
      <c r="H13" s="3" t="str">
        <f>IF(D13="","",IF(F13="","",IF(ISNUMBER(SEARCH(INDEX(Operators!$A$5:$A$39,MATCH(F13,Operators!$B$5:$B$39,0)),INDEX(Fields!$G$5:$G$67,MATCH(D13,Fields!$A$5:$A$67,0)))),"OK","CHECK")))</f>
        <v/>
      </c>
      <c r="I13" s="3"/>
      <c r="J13" s="3"/>
      <c r="K13" s="3"/>
      <c r="L13" s="3"/>
      <c r="M13" s="3"/>
      <c r="N13" s="3"/>
      <c r="O13" s="3"/>
    </row>
    <row r="14" spans="1:15">
      <c r="A14" s="3" t="s">
        <v>123</v>
      </c>
      <c r="B14" s="3" t="s">
        <v>119</v>
      </c>
      <c r="C14" s="3" t="s">
        <v>76</v>
      </c>
      <c r="D14" s="3"/>
      <c r="E14" s="3" t="str">
        <f>IFERROR(INDEX(Fields!$C$5:$C$67,MATCH(D14,Fields!$A$5:$A$67,0)),"")</f>
        <v/>
      </c>
      <c r="F14" s="3"/>
      <c r="G14" s="3" t="str">
        <f>IFERROR(INDEX(Operators!$C$5:$C$39,MATCH(F14,Operators!$B$5:$B$39,0)),"")</f>
        <v/>
      </c>
      <c r="H14" s="3" t="str">
        <f>IF(D14="","",IF(F14="","",IF(ISNUMBER(SEARCH(INDEX(Operators!$A$5:$A$39,MATCH(F14,Operators!$B$5:$B$39,0)),INDEX(Fields!$G$5:$G$67,MATCH(D14,Fields!$A$5:$A$67,0)))),"OK","CHECK")))</f>
        <v/>
      </c>
      <c r="I14" s="3"/>
      <c r="J14" s="3"/>
      <c r="K14" s="3"/>
      <c r="L14" s="3"/>
      <c r="M14" s="3"/>
      <c r="N14" s="3"/>
      <c r="O14" s="3"/>
    </row>
    <row r="15" spans="1:15">
      <c r="A15" s="3" t="s">
        <v>124</v>
      </c>
      <c r="B15" s="3" t="s">
        <v>119</v>
      </c>
      <c r="C15" s="3" t="s">
        <v>76</v>
      </c>
      <c r="D15" s="3"/>
      <c r="E15" s="3" t="str">
        <f>IFERROR(INDEX(Fields!$C$5:$C$67,MATCH(D15,Fields!$A$5:$A$67,0)),"")</f>
        <v/>
      </c>
      <c r="F15" s="3"/>
      <c r="G15" s="3" t="str">
        <f>IFERROR(INDEX(Operators!$C$5:$C$39,MATCH(F15,Operators!$B$5:$B$39,0)),"")</f>
        <v/>
      </c>
      <c r="H15" s="3" t="str">
        <f>IF(D15="","",IF(F15="","",IF(ISNUMBER(SEARCH(INDEX(Operators!$A$5:$A$39,MATCH(F15,Operators!$B$5:$B$39,0)),INDEX(Fields!$G$5:$G$67,MATCH(D15,Fields!$A$5:$A$67,0)))),"OK","CHECK")))</f>
        <v/>
      </c>
      <c r="I15" s="3"/>
      <c r="J15" s="3"/>
      <c r="K15" s="3"/>
      <c r="L15" s="3"/>
      <c r="M15" s="3"/>
      <c r="N15" s="3"/>
      <c r="O15" s="3"/>
    </row>
    <row r="16" spans="1:15">
      <c r="A16" s="3" t="s">
        <v>125</v>
      </c>
      <c r="B16" s="3" t="s">
        <v>119</v>
      </c>
      <c r="C16" s="3" t="s">
        <v>76</v>
      </c>
      <c r="D16" s="3"/>
      <c r="E16" s="3" t="str">
        <f>IFERROR(INDEX(Fields!$C$5:$C$67,MATCH(D16,Fields!$A$5:$A$67,0)),"")</f>
        <v/>
      </c>
      <c r="F16" s="3"/>
      <c r="G16" s="3" t="str">
        <f>IFERROR(INDEX(Operators!$C$5:$C$39,MATCH(F16,Operators!$B$5:$B$39,0)),"")</f>
        <v/>
      </c>
      <c r="H16" s="3" t="str">
        <f>IF(D16="","",IF(F16="","",IF(ISNUMBER(SEARCH(INDEX(Operators!$A$5:$A$39,MATCH(F16,Operators!$B$5:$B$39,0)),INDEX(Fields!$G$5:$G$67,MATCH(D16,Fields!$A$5:$A$67,0)))),"OK","CHECK")))</f>
        <v/>
      </c>
      <c r="I16" s="3"/>
      <c r="J16" s="3"/>
      <c r="K16" s="3"/>
      <c r="L16" s="3"/>
      <c r="M16" s="3"/>
      <c r="N16" s="3"/>
      <c r="O16" s="3"/>
    </row>
    <row r="17" spans="1:15">
      <c r="A17" s="3" t="s">
        <v>126</v>
      </c>
      <c r="B17" s="3" t="s">
        <v>119</v>
      </c>
      <c r="C17" s="3" t="s">
        <v>76</v>
      </c>
      <c r="D17" s="3"/>
      <c r="E17" s="3" t="str">
        <f>IFERROR(INDEX(Fields!$C$5:$C$67,MATCH(D17,Fields!$A$5:$A$67,0)),"")</f>
        <v/>
      </c>
      <c r="F17" s="3"/>
      <c r="G17" s="3" t="str">
        <f>IFERROR(INDEX(Operators!$C$5:$C$39,MATCH(F17,Operators!$B$5:$B$39,0)),"")</f>
        <v/>
      </c>
      <c r="H17" s="3" t="str">
        <f>IF(D17="","",IF(F17="","",IF(ISNUMBER(SEARCH(INDEX(Operators!$A$5:$A$39,MATCH(F17,Operators!$B$5:$B$39,0)),INDEX(Fields!$G$5:$G$67,MATCH(D17,Fields!$A$5:$A$67,0)))),"OK","CHECK")))</f>
        <v/>
      </c>
      <c r="I17" s="3"/>
      <c r="J17" s="3"/>
      <c r="K17" s="3"/>
      <c r="L17" s="3"/>
      <c r="M17" s="3"/>
      <c r="N17" s="3"/>
      <c r="O17" s="3"/>
    </row>
    <row r="18" spans="1:15">
      <c r="A18" s="3" t="s">
        <v>127</v>
      </c>
      <c r="B18" s="3" t="s">
        <v>119</v>
      </c>
      <c r="C18" s="3" t="s">
        <v>76</v>
      </c>
      <c r="D18" s="3"/>
      <c r="E18" s="3" t="str">
        <f>IFERROR(INDEX(Fields!$C$5:$C$67,MATCH(D18,Fields!$A$5:$A$67,0)),"")</f>
        <v/>
      </c>
      <c r="F18" s="3"/>
      <c r="G18" s="3" t="str">
        <f>IFERROR(INDEX(Operators!$C$5:$C$39,MATCH(F18,Operators!$B$5:$B$39,0)),"")</f>
        <v/>
      </c>
      <c r="H18" s="3" t="str">
        <f>IF(D18="","",IF(F18="","",IF(ISNUMBER(SEARCH(INDEX(Operators!$A$5:$A$39,MATCH(F18,Operators!$B$5:$B$39,0)),INDEX(Fields!$G$5:$G$67,MATCH(D18,Fields!$A$5:$A$67,0)))),"OK","CHECK")))</f>
        <v/>
      </c>
      <c r="I18" s="3"/>
      <c r="J18" s="3"/>
      <c r="K18" s="3"/>
      <c r="L18" s="3"/>
      <c r="M18" s="3"/>
      <c r="N18" s="3"/>
      <c r="O18" s="3"/>
    </row>
    <row r="19" spans="1:15">
      <c r="A19" s="3" t="s">
        <v>128</v>
      </c>
      <c r="B19" s="3" t="s">
        <v>119</v>
      </c>
      <c r="C19" s="3" t="s">
        <v>76</v>
      </c>
      <c r="D19" s="3"/>
      <c r="E19" s="3" t="str">
        <f>IFERROR(INDEX(Fields!$C$5:$C$67,MATCH(D19,Fields!$A$5:$A$67,0)),"")</f>
        <v/>
      </c>
      <c r="F19" s="3"/>
      <c r="G19" s="3" t="str">
        <f>IFERROR(INDEX(Operators!$C$5:$C$39,MATCH(F19,Operators!$B$5:$B$39,0)),"")</f>
        <v/>
      </c>
      <c r="H19" s="3" t="str">
        <f>IF(D19="","",IF(F19="","",IF(ISNUMBER(SEARCH(INDEX(Operators!$A$5:$A$39,MATCH(F19,Operators!$B$5:$B$39,0)),INDEX(Fields!$G$5:$G$67,MATCH(D19,Fields!$A$5:$A$67,0)))),"OK","CHECK")))</f>
        <v/>
      </c>
      <c r="I19" s="3"/>
      <c r="J19" s="3"/>
      <c r="K19" s="3"/>
      <c r="L19" s="3"/>
      <c r="M19" s="3"/>
      <c r="N19" s="3"/>
      <c r="O19" s="3"/>
    </row>
    <row r="20" spans="1:15">
      <c r="A20" s="3" t="s">
        <v>129</v>
      </c>
      <c r="B20" s="3" t="s">
        <v>119</v>
      </c>
      <c r="C20" s="3" t="s">
        <v>76</v>
      </c>
      <c r="D20" s="3"/>
      <c r="E20" s="3" t="str">
        <f>IFERROR(INDEX(Fields!$C$5:$C$67,MATCH(D20,Fields!$A$5:$A$67,0)),"")</f>
        <v/>
      </c>
      <c r="F20" s="3"/>
      <c r="G20" s="3" t="str">
        <f>IFERROR(INDEX(Operators!$C$5:$C$39,MATCH(F20,Operators!$B$5:$B$39,0)),"")</f>
        <v/>
      </c>
      <c r="H20" s="3" t="str">
        <f>IF(D20="","",IF(F20="","",IF(ISNUMBER(SEARCH(INDEX(Operators!$A$5:$A$39,MATCH(F20,Operators!$B$5:$B$39,0)),INDEX(Fields!$G$5:$G$67,MATCH(D20,Fields!$A$5:$A$67,0)))),"OK","CHECK")))</f>
        <v/>
      </c>
      <c r="I20" s="3"/>
      <c r="J20" s="3"/>
      <c r="K20" s="3"/>
      <c r="L20" s="3"/>
      <c r="M20" s="3"/>
      <c r="N20" s="3"/>
      <c r="O20" s="3"/>
    </row>
    <row r="21" spans="1:15">
      <c r="A21" s="3" t="s">
        <v>130</v>
      </c>
      <c r="B21" s="3" t="s">
        <v>119</v>
      </c>
      <c r="C21" s="3" t="s">
        <v>76</v>
      </c>
      <c r="D21" s="3"/>
      <c r="E21" s="3" t="str">
        <f>IFERROR(INDEX(Fields!$C$5:$C$67,MATCH(D21,Fields!$A$5:$A$67,0)),"")</f>
        <v/>
      </c>
      <c r="F21" s="3"/>
      <c r="G21" s="3" t="str">
        <f>IFERROR(INDEX(Operators!$C$5:$C$39,MATCH(F21,Operators!$B$5:$B$39,0)),"")</f>
        <v/>
      </c>
      <c r="H21" s="3" t="str">
        <f>IF(D21="","",IF(F21="","",IF(ISNUMBER(SEARCH(INDEX(Operators!$A$5:$A$39,MATCH(F21,Operators!$B$5:$B$39,0)),INDEX(Fields!$G$5:$G$67,MATCH(D21,Fields!$A$5:$A$67,0)))),"OK","CHECK")))</f>
        <v/>
      </c>
      <c r="I21" s="3"/>
      <c r="J21" s="3"/>
      <c r="K21" s="3"/>
      <c r="L21" s="3"/>
      <c r="M21" s="3"/>
      <c r="N21" s="3"/>
      <c r="O21" s="3"/>
    </row>
    <row r="22" spans="1:15">
      <c r="A22" s="3" t="s">
        <v>131</v>
      </c>
      <c r="B22" s="3" t="s">
        <v>119</v>
      </c>
      <c r="C22" s="3" t="s">
        <v>76</v>
      </c>
      <c r="D22" s="3"/>
      <c r="E22" s="3" t="str">
        <f>IFERROR(INDEX(Fields!$C$5:$C$67,MATCH(D22,Fields!$A$5:$A$67,0)),"")</f>
        <v/>
      </c>
      <c r="F22" s="3"/>
      <c r="G22" s="3" t="str">
        <f>IFERROR(INDEX(Operators!$C$5:$C$39,MATCH(F22,Operators!$B$5:$B$39,0)),"")</f>
        <v/>
      </c>
      <c r="H22" s="3" t="str">
        <f>IF(D22="","",IF(F22="","",IF(ISNUMBER(SEARCH(INDEX(Operators!$A$5:$A$39,MATCH(F22,Operators!$B$5:$B$39,0)),INDEX(Fields!$G$5:$G$67,MATCH(D22,Fields!$A$5:$A$67,0)))),"OK","CHECK")))</f>
        <v/>
      </c>
      <c r="I22" s="3"/>
      <c r="J22" s="3"/>
      <c r="K22" s="3"/>
      <c r="L22" s="3"/>
      <c r="M22" s="3"/>
      <c r="N22" s="3"/>
      <c r="O22" s="3"/>
    </row>
    <row r="23" spans="1:15">
      <c r="A23" s="3" t="s">
        <v>132</v>
      </c>
      <c r="B23" s="3" t="s">
        <v>119</v>
      </c>
      <c r="C23" s="3" t="s">
        <v>76</v>
      </c>
      <c r="D23" s="3"/>
      <c r="E23" s="3" t="str">
        <f>IFERROR(INDEX(Fields!$C$5:$C$67,MATCH(D23,Fields!$A$5:$A$67,0)),"")</f>
        <v/>
      </c>
      <c r="F23" s="3"/>
      <c r="G23" s="3" t="str">
        <f>IFERROR(INDEX(Operators!$C$5:$C$39,MATCH(F23,Operators!$B$5:$B$39,0)),"")</f>
        <v/>
      </c>
      <c r="H23" s="3" t="str">
        <f>IF(D23="","",IF(F23="","",IF(ISNUMBER(SEARCH(INDEX(Operators!$A$5:$A$39,MATCH(F23,Operators!$B$5:$B$39,0)),INDEX(Fields!$G$5:$G$67,MATCH(D23,Fields!$A$5:$A$67,0)))),"OK","CHECK")))</f>
        <v/>
      </c>
      <c r="I23" s="3"/>
      <c r="J23" s="3"/>
      <c r="K23" s="3"/>
      <c r="L23" s="3"/>
      <c r="M23" s="3"/>
      <c r="N23" s="3"/>
      <c r="O23" s="3"/>
    </row>
    <row r="24" spans="1:15">
      <c r="A24" s="3" t="s">
        <v>133</v>
      </c>
      <c r="B24" s="3" t="s">
        <v>119</v>
      </c>
      <c r="C24" s="3" t="s">
        <v>76</v>
      </c>
      <c r="D24" s="3"/>
      <c r="E24" s="3" t="str">
        <f>IFERROR(INDEX(Fields!$C$5:$C$67,MATCH(D24,Fields!$A$5:$A$67,0)),"")</f>
        <v/>
      </c>
      <c r="F24" s="3"/>
      <c r="G24" s="3" t="str">
        <f>IFERROR(INDEX(Operators!$C$5:$C$39,MATCH(F24,Operators!$B$5:$B$39,0)),"")</f>
        <v/>
      </c>
      <c r="H24" s="3" t="str">
        <f>IF(D24="","",IF(F24="","",IF(ISNUMBER(SEARCH(INDEX(Operators!$A$5:$A$39,MATCH(F24,Operators!$B$5:$B$39,0)),INDEX(Fields!$G$5:$G$67,MATCH(D24,Fields!$A$5:$A$67,0)))),"OK","CHECK")))</f>
        <v/>
      </c>
      <c r="I24" s="3"/>
      <c r="J24" s="3"/>
      <c r="K24" s="3"/>
      <c r="L24" s="3"/>
      <c r="M24" s="3"/>
      <c r="N24" s="3"/>
      <c r="O24" s="3"/>
    </row>
    <row r="25" spans="1:15">
      <c r="A25" s="3" t="s">
        <v>134</v>
      </c>
      <c r="B25" s="3" t="s">
        <v>119</v>
      </c>
      <c r="C25" s="3" t="s">
        <v>76</v>
      </c>
      <c r="D25" s="3"/>
      <c r="E25" s="3" t="str">
        <f>IFERROR(INDEX(Fields!$C$5:$C$67,MATCH(D25,Fields!$A$5:$A$67,0)),"")</f>
        <v/>
      </c>
      <c r="F25" s="3"/>
      <c r="G25" s="3" t="str">
        <f>IFERROR(INDEX(Operators!$C$5:$C$39,MATCH(F25,Operators!$B$5:$B$39,0)),"")</f>
        <v/>
      </c>
      <c r="H25" s="3" t="str">
        <f>IF(D25="","",IF(F25="","",IF(ISNUMBER(SEARCH(INDEX(Operators!$A$5:$A$39,MATCH(F25,Operators!$B$5:$B$39,0)),INDEX(Fields!$G$5:$G$67,MATCH(D25,Fields!$A$5:$A$67,0)))),"OK","CHECK")))</f>
        <v/>
      </c>
      <c r="I25" s="3"/>
      <c r="J25" s="3"/>
      <c r="K25" s="3"/>
      <c r="L25" s="3"/>
      <c r="M25" s="3"/>
      <c r="N25" s="3"/>
      <c r="O25" s="3"/>
    </row>
    <row r="26" spans="1:15">
      <c r="A26" s="3" t="s">
        <v>135</v>
      </c>
      <c r="B26" s="3" t="s">
        <v>119</v>
      </c>
      <c r="C26" s="3" t="s">
        <v>76</v>
      </c>
      <c r="D26" s="3"/>
      <c r="E26" s="3" t="str">
        <f>IFERROR(INDEX(Fields!$C$5:$C$67,MATCH(D26,Fields!$A$5:$A$67,0)),"")</f>
        <v/>
      </c>
      <c r="F26" s="3"/>
      <c r="G26" s="3" t="str">
        <f>IFERROR(INDEX(Operators!$C$5:$C$39,MATCH(F26,Operators!$B$5:$B$39,0)),"")</f>
        <v/>
      </c>
      <c r="H26" s="3" t="str">
        <f>IF(D26="","",IF(F26="","",IF(ISNUMBER(SEARCH(INDEX(Operators!$A$5:$A$39,MATCH(F26,Operators!$B$5:$B$39,0)),INDEX(Fields!$G$5:$G$67,MATCH(D26,Fields!$A$5:$A$67,0)))),"OK","CHECK")))</f>
        <v/>
      </c>
      <c r="I26" s="3"/>
      <c r="J26" s="3"/>
      <c r="K26" s="3"/>
      <c r="L26" s="3"/>
      <c r="M26" s="3"/>
      <c r="N26" s="3"/>
      <c r="O26" s="3"/>
    </row>
    <row r="27" spans="1:15">
      <c r="A27" s="3" t="s">
        <v>136</v>
      </c>
      <c r="B27" s="3" t="s">
        <v>119</v>
      </c>
      <c r="C27" s="3" t="s">
        <v>76</v>
      </c>
      <c r="D27" s="3"/>
      <c r="E27" s="3" t="str">
        <f>IFERROR(INDEX(Fields!$C$5:$C$67,MATCH(D27,Fields!$A$5:$A$67,0)),"")</f>
        <v/>
      </c>
      <c r="F27" s="3"/>
      <c r="G27" s="3" t="str">
        <f>IFERROR(INDEX(Operators!$C$5:$C$39,MATCH(F27,Operators!$B$5:$B$39,0)),"")</f>
        <v/>
      </c>
      <c r="H27" s="3" t="str">
        <f>IF(D27="","",IF(F27="","",IF(ISNUMBER(SEARCH(INDEX(Operators!$A$5:$A$39,MATCH(F27,Operators!$B$5:$B$39,0)),INDEX(Fields!$G$5:$G$67,MATCH(D27,Fields!$A$5:$A$67,0)))),"OK","CHECK")))</f>
        <v/>
      </c>
      <c r="I27" s="3"/>
      <c r="J27" s="3"/>
      <c r="K27" s="3"/>
      <c r="L27" s="3"/>
      <c r="M27" s="3"/>
      <c r="N27" s="3"/>
      <c r="O27" s="3"/>
    </row>
    <row r="28" spans="1:15">
      <c r="A28" s="3" t="s">
        <v>137</v>
      </c>
      <c r="B28" s="3" t="s">
        <v>119</v>
      </c>
      <c r="C28" s="3" t="s">
        <v>76</v>
      </c>
      <c r="D28" s="3"/>
      <c r="E28" s="3" t="str">
        <f>IFERROR(INDEX(Fields!$C$5:$C$67,MATCH(D28,Fields!$A$5:$A$67,0)),"")</f>
        <v/>
      </c>
      <c r="F28" s="3"/>
      <c r="G28" s="3" t="str">
        <f>IFERROR(INDEX(Operators!$C$5:$C$39,MATCH(F28,Operators!$B$5:$B$39,0)),"")</f>
        <v/>
      </c>
      <c r="H28" s="3" t="str">
        <f>IF(D28="","",IF(F28="","",IF(ISNUMBER(SEARCH(INDEX(Operators!$A$5:$A$39,MATCH(F28,Operators!$B$5:$B$39,0)),INDEX(Fields!$G$5:$G$67,MATCH(D28,Fields!$A$5:$A$67,0)))),"OK","CHECK")))</f>
        <v/>
      </c>
      <c r="I28" s="3"/>
      <c r="J28" s="3"/>
      <c r="K28" s="3"/>
      <c r="L28" s="3"/>
      <c r="M28" s="3"/>
      <c r="N28" s="3"/>
      <c r="O28" s="3"/>
    </row>
    <row r="29" spans="1:15">
      <c r="A29" s="3" t="s">
        <v>138</v>
      </c>
      <c r="B29" s="3" t="s">
        <v>119</v>
      </c>
      <c r="C29" s="3" t="s">
        <v>76</v>
      </c>
      <c r="D29" s="3"/>
      <c r="E29" s="3" t="str">
        <f>IFERROR(INDEX(Fields!$C$5:$C$67,MATCH(D29,Fields!$A$5:$A$67,0)),"")</f>
        <v/>
      </c>
      <c r="F29" s="3"/>
      <c r="G29" s="3" t="str">
        <f>IFERROR(INDEX(Operators!$C$5:$C$39,MATCH(F29,Operators!$B$5:$B$39,0)),"")</f>
        <v/>
      </c>
      <c r="H29" s="3" t="str">
        <f>IF(D29="","",IF(F29="","",IF(ISNUMBER(SEARCH(INDEX(Operators!$A$5:$A$39,MATCH(F29,Operators!$B$5:$B$39,0)),INDEX(Fields!$G$5:$G$67,MATCH(D29,Fields!$A$5:$A$67,0)))),"OK","CHECK")))</f>
        <v/>
      </c>
      <c r="I29" s="3"/>
      <c r="J29" s="3"/>
      <c r="K29" s="3"/>
      <c r="L29" s="3"/>
      <c r="M29" s="3"/>
      <c r="N29" s="3"/>
      <c r="O29" s="3"/>
    </row>
    <row r="30" spans="1:15">
      <c r="A30" s="3" t="s">
        <v>139</v>
      </c>
      <c r="B30" s="3" t="s">
        <v>119</v>
      </c>
      <c r="C30" s="3" t="s">
        <v>76</v>
      </c>
      <c r="D30" s="3"/>
      <c r="E30" s="3" t="str">
        <f>IFERROR(INDEX(Fields!$C$5:$C$67,MATCH(D30,Fields!$A$5:$A$67,0)),"")</f>
        <v/>
      </c>
      <c r="F30" s="3"/>
      <c r="G30" s="3" t="str">
        <f>IFERROR(INDEX(Operators!$C$5:$C$39,MATCH(F30,Operators!$B$5:$B$39,0)),"")</f>
        <v/>
      </c>
      <c r="H30" s="3" t="str">
        <f>IF(D30="","",IF(F30="","",IF(ISNUMBER(SEARCH(INDEX(Operators!$A$5:$A$39,MATCH(F30,Operators!$B$5:$B$39,0)),INDEX(Fields!$G$5:$G$67,MATCH(D30,Fields!$A$5:$A$67,0)))),"OK","CHECK")))</f>
        <v/>
      </c>
      <c r="I30" s="3"/>
      <c r="J30" s="3"/>
      <c r="K30" s="3"/>
      <c r="L30" s="3"/>
      <c r="M30" s="3"/>
      <c r="N30" s="3"/>
      <c r="O30" s="3"/>
    </row>
    <row r="31" spans="1:15">
      <c r="A31" s="3" t="s">
        <v>140</v>
      </c>
      <c r="B31" s="3" t="s">
        <v>119</v>
      </c>
      <c r="C31" s="3" t="s">
        <v>76</v>
      </c>
      <c r="D31" s="3"/>
      <c r="E31" s="3" t="str">
        <f>IFERROR(INDEX(Fields!$C$5:$C$67,MATCH(D31,Fields!$A$5:$A$67,0)),"")</f>
        <v/>
      </c>
      <c r="F31" s="3"/>
      <c r="G31" s="3" t="str">
        <f>IFERROR(INDEX(Operators!$C$5:$C$39,MATCH(F31,Operators!$B$5:$B$39,0)),"")</f>
        <v/>
      </c>
      <c r="H31" s="3" t="str">
        <f>IF(D31="","",IF(F31="","",IF(ISNUMBER(SEARCH(INDEX(Operators!$A$5:$A$39,MATCH(F31,Operators!$B$5:$B$39,0)),INDEX(Fields!$G$5:$G$67,MATCH(D31,Fields!$A$5:$A$67,0)))),"OK","CHECK")))</f>
        <v/>
      </c>
      <c r="I31" s="3"/>
      <c r="J31" s="3"/>
      <c r="K31" s="3"/>
      <c r="L31" s="3"/>
      <c r="M31" s="3"/>
      <c r="N31" s="3"/>
      <c r="O31" s="3"/>
    </row>
    <row r="32" spans="1:15">
      <c r="A32" s="3" t="s">
        <v>141</v>
      </c>
      <c r="B32" s="3" t="s">
        <v>119</v>
      </c>
      <c r="C32" s="3" t="s">
        <v>76</v>
      </c>
      <c r="D32" s="3"/>
      <c r="E32" s="3" t="str">
        <f>IFERROR(INDEX(Fields!$C$5:$C$67,MATCH(D32,Fields!$A$5:$A$67,0)),"")</f>
        <v/>
      </c>
      <c r="F32" s="3"/>
      <c r="G32" s="3" t="str">
        <f>IFERROR(INDEX(Operators!$C$5:$C$39,MATCH(F32,Operators!$B$5:$B$39,0)),"")</f>
        <v/>
      </c>
      <c r="H32" s="3" t="str">
        <f>IF(D32="","",IF(F32="","",IF(ISNUMBER(SEARCH(INDEX(Operators!$A$5:$A$39,MATCH(F32,Operators!$B$5:$B$39,0)),INDEX(Fields!$G$5:$G$67,MATCH(D32,Fields!$A$5:$A$67,0)))),"OK","CHECK")))</f>
        <v/>
      </c>
      <c r="I32" s="3"/>
      <c r="J32" s="3"/>
      <c r="K32" s="3"/>
      <c r="L32" s="3"/>
      <c r="M32" s="3"/>
      <c r="N32" s="3"/>
      <c r="O32" s="3"/>
    </row>
    <row r="33" spans="1:15">
      <c r="A33" s="3" t="s">
        <v>142</v>
      </c>
      <c r="B33" s="3" t="s">
        <v>119</v>
      </c>
      <c r="C33" s="3" t="s">
        <v>76</v>
      </c>
      <c r="D33" s="3"/>
      <c r="E33" s="3" t="str">
        <f>IFERROR(INDEX(Fields!$C$5:$C$67,MATCH(D33,Fields!$A$5:$A$67,0)),"")</f>
        <v/>
      </c>
      <c r="F33" s="3"/>
      <c r="G33" s="3" t="str">
        <f>IFERROR(INDEX(Operators!$C$5:$C$39,MATCH(F33,Operators!$B$5:$B$39,0)),"")</f>
        <v/>
      </c>
      <c r="H33" s="3" t="str">
        <f>IF(D33="","",IF(F33="","",IF(ISNUMBER(SEARCH(INDEX(Operators!$A$5:$A$39,MATCH(F33,Operators!$B$5:$B$39,0)),INDEX(Fields!$G$5:$G$67,MATCH(D33,Fields!$A$5:$A$67,0)))),"OK","CHECK")))</f>
        <v/>
      </c>
      <c r="I33" s="3"/>
      <c r="J33" s="3"/>
      <c r="K33" s="3"/>
      <c r="L33" s="3"/>
      <c r="M33" s="3"/>
      <c r="N33" s="3"/>
      <c r="O33" s="3"/>
    </row>
    <row r="34" spans="1:15">
      <c r="A34" s="3" t="s">
        <v>143</v>
      </c>
      <c r="B34" s="3" t="s">
        <v>119</v>
      </c>
      <c r="C34" s="3" t="s">
        <v>76</v>
      </c>
      <c r="D34" s="3"/>
      <c r="E34" s="3" t="str">
        <f>IFERROR(INDEX(Fields!$C$5:$C$67,MATCH(D34,Fields!$A$5:$A$67,0)),"")</f>
        <v/>
      </c>
      <c r="F34" s="3"/>
      <c r="G34" s="3" t="str">
        <f>IFERROR(INDEX(Operators!$C$5:$C$39,MATCH(F34,Operators!$B$5:$B$39,0)),"")</f>
        <v/>
      </c>
      <c r="H34" s="3" t="str">
        <f>IF(D34="","",IF(F34="","",IF(ISNUMBER(SEARCH(INDEX(Operators!$A$5:$A$39,MATCH(F34,Operators!$B$5:$B$39,0)),INDEX(Fields!$G$5:$G$67,MATCH(D34,Fields!$A$5:$A$67,0)))),"OK","CHECK")))</f>
        <v/>
      </c>
      <c r="I34" s="3"/>
      <c r="J34" s="3"/>
      <c r="K34" s="3"/>
      <c r="L34" s="3"/>
      <c r="M34" s="3"/>
      <c r="N34" s="3"/>
      <c r="O34" s="3"/>
    </row>
    <row r="35" spans="1:15">
      <c r="A35" s="3" t="s">
        <v>144</v>
      </c>
      <c r="B35" s="3" t="s">
        <v>119</v>
      </c>
      <c r="C35" s="3" t="s">
        <v>76</v>
      </c>
      <c r="D35" s="3"/>
      <c r="E35" s="3" t="str">
        <f>IFERROR(INDEX(Fields!$C$5:$C$67,MATCH(D35,Fields!$A$5:$A$67,0)),"")</f>
        <v/>
      </c>
      <c r="F35" s="3"/>
      <c r="G35" s="3" t="str">
        <f>IFERROR(INDEX(Operators!$C$5:$C$39,MATCH(F35,Operators!$B$5:$B$39,0)),"")</f>
        <v/>
      </c>
      <c r="H35" s="3" t="str">
        <f>IF(D35="","",IF(F35="","",IF(ISNUMBER(SEARCH(INDEX(Operators!$A$5:$A$39,MATCH(F35,Operators!$B$5:$B$39,0)),INDEX(Fields!$G$5:$G$67,MATCH(D35,Fields!$A$5:$A$67,0)))),"OK","CHECK")))</f>
        <v/>
      </c>
      <c r="I35" s="3"/>
      <c r="J35" s="3"/>
      <c r="K35" s="3"/>
      <c r="L35" s="3"/>
      <c r="M35" s="3"/>
      <c r="N35" s="3"/>
      <c r="O35" s="3"/>
    </row>
    <row r="36" spans="1:15">
      <c r="A36" s="3" t="s">
        <v>145</v>
      </c>
      <c r="B36" s="3" t="s">
        <v>119</v>
      </c>
      <c r="C36" s="3" t="s">
        <v>76</v>
      </c>
      <c r="D36" s="3"/>
      <c r="E36" s="3" t="str">
        <f>IFERROR(INDEX(Fields!$C$5:$C$67,MATCH(D36,Fields!$A$5:$A$67,0)),"")</f>
        <v/>
      </c>
      <c r="F36" s="3"/>
      <c r="G36" s="3" t="str">
        <f>IFERROR(INDEX(Operators!$C$5:$C$39,MATCH(F36,Operators!$B$5:$B$39,0)),"")</f>
        <v/>
      </c>
      <c r="H36" s="3" t="str">
        <f>IF(D36="","",IF(F36="","",IF(ISNUMBER(SEARCH(INDEX(Operators!$A$5:$A$39,MATCH(F36,Operators!$B$5:$B$39,0)),INDEX(Fields!$G$5:$G$67,MATCH(D36,Fields!$A$5:$A$67,0)))),"OK","CHECK")))</f>
        <v/>
      </c>
      <c r="I36" s="3"/>
      <c r="J36" s="3"/>
      <c r="K36" s="3"/>
      <c r="L36" s="3"/>
      <c r="M36" s="3"/>
      <c r="N36" s="3"/>
      <c r="O36" s="3"/>
    </row>
    <row r="37" spans="1:15">
      <c r="A37" s="3" t="s">
        <v>146</v>
      </c>
      <c r="B37" s="3" t="s">
        <v>119</v>
      </c>
      <c r="C37" s="3" t="s">
        <v>76</v>
      </c>
      <c r="D37" s="3"/>
      <c r="E37" s="3" t="str">
        <f>IFERROR(INDEX(Fields!$C$5:$C$67,MATCH(D37,Fields!$A$5:$A$67,0)),"")</f>
        <v/>
      </c>
      <c r="F37" s="3"/>
      <c r="G37" s="3" t="str">
        <f>IFERROR(INDEX(Operators!$C$5:$C$39,MATCH(F37,Operators!$B$5:$B$39,0)),"")</f>
        <v/>
      </c>
      <c r="H37" s="3" t="str">
        <f>IF(D37="","",IF(F37="","",IF(ISNUMBER(SEARCH(INDEX(Operators!$A$5:$A$39,MATCH(F37,Operators!$B$5:$B$39,0)),INDEX(Fields!$G$5:$G$67,MATCH(D37,Fields!$A$5:$A$67,0)))),"OK","CHECK")))</f>
        <v/>
      </c>
      <c r="I37" s="3"/>
      <c r="J37" s="3"/>
      <c r="K37" s="3"/>
      <c r="L37" s="3"/>
      <c r="M37" s="3"/>
      <c r="N37" s="3"/>
      <c r="O37" s="3"/>
    </row>
    <row r="38" spans="1:15">
      <c r="A38" s="3" t="s">
        <v>147</v>
      </c>
      <c r="B38" s="3" t="s">
        <v>119</v>
      </c>
      <c r="C38" s="3" t="s">
        <v>76</v>
      </c>
      <c r="D38" s="3"/>
      <c r="E38" s="3" t="str">
        <f>IFERROR(INDEX(Fields!$C$5:$C$67,MATCH(D38,Fields!$A$5:$A$67,0)),"")</f>
        <v/>
      </c>
      <c r="F38" s="3"/>
      <c r="G38" s="3" t="str">
        <f>IFERROR(INDEX(Operators!$C$5:$C$39,MATCH(F38,Operators!$B$5:$B$39,0)),"")</f>
        <v/>
      </c>
      <c r="H38" s="3" t="str">
        <f>IF(D38="","",IF(F38="","",IF(ISNUMBER(SEARCH(INDEX(Operators!$A$5:$A$39,MATCH(F38,Operators!$B$5:$B$39,0)),INDEX(Fields!$G$5:$G$67,MATCH(D38,Fields!$A$5:$A$67,0)))),"OK","CHECK")))</f>
        <v/>
      </c>
      <c r="I38" s="3"/>
      <c r="J38" s="3"/>
      <c r="K38" s="3"/>
      <c r="L38" s="3"/>
      <c r="M38" s="3"/>
      <c r="N38" s="3"/>
      <c r="O38" s="3"/>
    </row>
    <row r="39" spans="1:15">
      <c r="A39" s="3" t="s">
        <v>148</v>
      </c>
      <c r="B39" s="3" t="s">
        <v>119</v>
      </c>
      <c r="C39" s="3" t="s">
        <v>76</v>
      </c>
      <c r="D39" s="3"/>
      <c r="E39" s="3" t="str">
        <f>IFERROR(INDEX(Fields!$C$5:$C$67,MATCH(D39,Fields!$A$5:$A$67,0)),"")</f>
        <v/>
      </c>
      <c r="F39" s="3"/>
      <c r="G39" s="3" t="str">
        <f>IFERROR(INDEX(Operators!$C$5:$C$39,MATCH(F39,Operators!$B$5:$B$39,0)),"")</f>
        <v/>
      </c>
      <c r="H39" s="3" t="str">
        <f>IF(D39="","",IF(F39="","",IF(ISNUMBER(SEARCH(INDEX(Operators!$A$5:$A$39,MATCH(F39,Operators!$B$5:$B$39,0)),INDEX(Fields!$G$5:$G$67,MATCH(D39,Fields!$A$5:$A$67,0)))),"OK","CHECK")))</f>
        <v/>
      </c>
      <c r="I39" s="3"/>
      <c r="J39" s="3"/>
      <c r="K39" s="3"/>
      <c r="L39" s="3"/>
      <c r="M39" s="3"/>
      <c r="N39" s="3"/>
      <c r="O39" s="3"/>
    </row>
    <row r="40" spans="1:15">
      <c r="A40" s="3" t="s">
        <v>149</v>
      </c>
      <c r="B40" s="3" t="s">
        <v>119</v>
      </c>
      <c r="C40" s="3" t="s">
        <v>76</v>
      </c>
      <c r="D40" s="3"/>
      <c r="E40" s="3" t="str">
        <f>IFERROR(INDEX(Fields!$C$5:$C$67,MATCH(D40,Fields!$A$5:$A$67,0)),"")</f>
        <v/>
      </c>
      <c r="F40" s="3"/>
      <c r="G40" s="3" t="str">
        <f>IFERROR(INDEX(Operators!$C$5:$C$39,MATCH(F40,Operators!$B$5:$B$39,0)),"")</f>
        <v/>
      </c>
      <c r="H40" s="3" t="str">
        <f>IF(D40="","",IF(F40="","",IF(ISNUMBER(SEARCH(INDEX(Operators!$A$5:$A$39,MATCH(F40,Operators!$B$5:$B$39,0)),INDEX(Fields!$G$5:$G$67,MATCH(D40,Fields!$A$5:$A$67,0)))),"OK","CHECK")))</f>
        <v/>
      </c>
      <c r="I40" s="3"/>
      <c r="J40" s="3"/>
      <c r="K40" s="3"/>
      <c r="L40" s="3"/>
      <c r="M40" s="3"/>
      <c r="N40" s="3"/>
      <c r="O40" s="3"/>
    </row>
    <row r="41" spans="1:15">
      <c r="A41" s="3" t="s">
        <v>150</v>
      </c>
      <c r="B41" s="3" t="s">
        <v>119</v>
      </c>
      <c r="C41" s="3" t="s">
        <v>76</v>
      </c>
      <c r="D41" s="3"/>
      <c r="E41" s="3" t="str">
        <f>IFERROR(INDEX(Fields!$C$5:$C$67,MATCH(D41,Fields!$A$5:$A$67,0)),"")</f>
        <v/>
      </c>
      <c r="F41" s="3"/>
      <c r="G41" s="3" t="str">
        <f>IFERROR(INDEX(Operators!$C$5:$C$39,MATCH(F41,Operators!$B$5:$B$39,0)),"")</f>
        <v/>
      </c>
      <c r="H41" s="3" t="str">
        <f>IF(D41="","",IF(F41="","",IF(ISNUMBER(SEARCH(INDEX(Operators!$A$5:$A$39,MATCH(F41,Operators!$B$5:$B$39,0)),INDEX(Fields!$G$5:$G$67,MATCH(D41,Fields!$A$5:$A$67,0)))),"OK","CHECK")))</f>
        <v/>
      </c>
      <c r="I41" s="3"/>
      <c r="J41" s="3"/>
      <c r="K41" s="3"/>
      <c r="L41" s="3"/>
      <c r="M41" s="3"/>
      <c r="N41" s="3"/>
      <c r="O41" s="3"/>
    </row>
    <row r="42" spans="1:15">
      <c r="A42" s="3" t="s">
        <v>151</v>
      </c>
      <c r="B42" s="3" t="s">
        <v>119</v>
      </c>
      <c r="C42" s="3" t="s">
        <v>76</v>
      </c>
      <c r="D42" s="3"/>
      <c r="E42" s="3" t="str">
        <f>IFERROR(INDEX(Fields!$C$5:$C$67,MATCH(D42,Fields!$A$5:$A$67,0)),"")</f>
        <v/>
      </c>
      <c r="F42" s="3"/>
      <c r="G42" s="3" t="str">
        <f>IFERROR(INDEX(Operators!$C$5:$C$39,MATCH(F42,Operators!$B$5:$B$39,0)),"")</f>
        <v/>
      </c>
      <c r="H42" s="3" t="str">
        <f>IF(D42="","",IF(F42="","",IF(ISNUMBER(SEARCH(INDEX(Operators!$A$5:$A$39,MATCH(F42,Operators!$B$5:$B$39,0)),INDEX(Fields!$G$5:$G$67,MATCH(D42,Fields!$A$5:$A$67,0)))),"OK","CHECK")))</f>
        <v/>
      </c>
      <c r="I42" s="3"/>
      <c r="J42" s="3"/>
      <c r="K42" s="3"/>
      <c r="L42" s="3"/>
      <c r="M42" s="3"/>
      <c r="N42" s="3"/>
      <c r="O42" s="3"/>
    </row>
    <row r="43" spans="1:15">
      <c r="A43" s="3" t="s">
        <v>152</v>
      </c>
      <c r="B43" s="3" t="s">
        <v>119</v>
      </c>
      <c r="C43" s="3" t="s">
        <v>76</v>
      </c>
      <c r="D43" s="3"/>
      <c r="E43" s="3" t="str">
        <f>IFERROR(INDEX(Fields!$C$5:$C$67,MATCH(D43,Fields!$A$5:$A$67,0)),"")</f>
        <v/>
      </c>
      <c r="F43" s="3"/>
      <c r="G43" s="3" t="str">
        <f>IFERROR(INDEX(Operators!$C$5:$C$39,MATCH(F43,Operators!$B$5:$B$39,0)),"")</f>
        <v/>
      </c>
      <c r="H43" s="3" t="str">
        <f>IF(D43="","",IF(F43="","",IF(ISNUMBER(SEARCH(INDEX(Operators!$A$5:$A$39,MATCH(F43,Operators!$B$5:$B$39,0)),INDEX(Fields!$G$5:$G$67,MATCH(D43,Fields!$A$5:$A$67,0)))),"OK","CHECK")))</f>
        <v/>
      </c>
      <c r="I43" s="3"/>
      <c r="J43" s="3"/>
      <c r="K43" s="3"/>
      <c r="L43" s="3"/>
      <c r="M43" s="3"/>
      <c r="N43" s="3"/>
      <c r="O43" s="3"/>
    </row>
    <row r="44" spans="1:15">
      <c r="A44" s="3" t="s">
        <v>153</v>
      </c>
      <c r="B44" s="3" t="s">
        <v>119</v>
      </c>
      <c r="C44" s="3" t="s">
        <v>76</v>
      </c>
      <c r="D44" s="3"/>
      <c r="E44" s="3" t="str">
        <f>IFERROR(INDEX(Fields!$C$5:$C$67,MATCH(D44,Fields!$A$5:$A$67,0)),"")</f>
        <v/>
      </c>
      <c r="F44" s="3"/>
      <c r="G44" s="3" t="str">
        <f>IFERROR(INDEX(Operators!$C$5:$C$39,MATCH(F44,Operators!$B$5:$B$39,0)),"")</f>
        <v/>
      </c>
      <c r="H44" s="3" t="str">
        <f>IF(D44="","",IF(F44="","",IF(ISNUMBER(SEARCH(INDEX(Operators!$A$5:$A$39,MATCH(F44,Operators!$B$5:$B$39,0)),INDEX(Fields!$G$5:$G$67,MATCH(D44,Fields!$A$5:$A$67,0)))),"OK","CHECK")))</f>
        <v/>
      </c>
      <c r="I44" s="3"/>
      <c r="J44" s="3"/>
      <c r="K44" s="3"/>
      <c r="L44" s="3"/>
      <c r="M44" s="3"/>
      <c r="N44" s="3"/>
      <c r="O44" s="3"/>
    </row>
  </sheetData>
  <mergeCells count="2">
    <mergeCell ref="A1:N1"/>
    <mergeCell ref="A2:N2"/>
  </mergeCells>
  <conditionalFormatting sqref="H5:H44">
    <cfRule type="expression" dxfId="9" priority="1">
      <formula>H5="CHECK"</formula>
    </cfRule>
    <cfRule type="expression" dxfId="8" priority="2">
      <formula>H5="OK"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100-000000000000}">
          <x14:formula1>
            <xm:f>Lists!$K$5:$K$6</xm:f>
          </x14:formula1>
          <xm:sqref>B5:B44</xm:sqref>
        </x14:dataValidation>
        <x14:dataValidation type="list" xr:uid="{00000000-0002-0000-0100-000001000000}">
          <x14:formula1>
            <xm:f>Lists!$J$5:$J$6</xm:f>
          </x14:formula1>
          <xm:sqref>C5:C44</xm:sqref>
        </x14:dataValidation>
        <x14:dataValidation type="list" xr:uid="{00000000-0002-0000-0100-000002000000}">
          <x14:formula1>
            <xm:f>Lists!$A$5:$A$67</xm:f>
          </x14:formula1>
          <xm:sqref>D5:D44</xm:sqref>
        </x14:dataValidation>
        <x14:dataValidation type="list" xr:uid="{00000000-0002-0000-0100-000003000000}">
          <x14:formula1>
            <xm:f>Lists!$B$5:$B$39</xm:f>
          </x14:formula1>
          <xm:sqref>F5:F44</xm:sqref>
        </x14:dataValidation>
        <x14:dataValidation type="list" xr:uid="{00000000-0002-0000-0100-000004000000}">
          <x14:formula1>
            <xm:f>Lists!$C$5:$C$36</xm:f>
          </x14:formula1>
          <xm:sqref>J5:J44</xm:sqref>
        </x14:dataValidation>
        <x14:dataValidation type="list" xr:uid="{00000000-0002-0000-0100-000005000000}">
          <x14:formula1>
            <xm:f>Lists!$E$5:$E$16</xm:f>
          </x14:formula1>
          <xm:sqref>L5:L44</xm:sqref>
        </x14:dataValidation>
        <x14:dataValidation type="list" xr:uid="{00000000-0002-0000-0100-000006000000}">
          <x14:formula1>
            <xm:f>Lists!$D$5:$D$22</xm:f>
          </x14:formula1>
          <xm:sqref>M5:M44</xm:sqref>
        </x14:dataValidation>
        <x14:dataValidation type="list" xr:uid="{00000000-0002-0000-0100-000007000000}">
          <x14:formula1>
            <xm:f>Lists!$I$5:$I$9</xm:f>
          </x14:formula1>
          <xm:sqref>N5:N44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"/>
  <sheetViews>
    <sheetView workbookViewId="0">
      <selection sqref="A1:G1"/>
    </sheetView>
  </sheetViews>
  <sheetFormatPr defaultRowHeight="13.8"/>
  <cols>
    <col min="1" max="1" width="22" customWidth="1"/>
    <col min="2" max="2" width="24" customWidth="1"/>
    <col min="3" max="3" width="16" customWidth="1"/>
    <col min="4" max="4" width="24" customWidth="1"/>
    <col min="5" max="5" width="44" customWidth="1"/>
    <col min="6" max="6" width="28" customWidth="1"/>
    <col min="7" max="7" width="60" customWidth="1"/>
  </cols>
  <sheetData>
    <row r="1" spans="1:7" ht="22.35" customHeight="1">
      <c r="A1" s="21" t="s">
        <v>154</v>
      </c>
      <c r="B1" s="22"/>
      <c r="C1" s="22"/>
      <c r="D1" s="22"/>
      <c r="E1" s="22"/>
      <c r="F1" s="22"/>
      <c r="G1" s="22"/>
    </row>
    <row r="2" spans="1:7" ht="22.35" customHeight="1">
      <c r="A2" s="23" t="s">
        <v>155</v>
      </c>
      <c r="B2" s="22"/>
      <c r="C2" s="22"/>
      <c r="D2" s="22"/>
      <c r="E2" s="22"/>
      <c r="F2" s="22"/>
      <c r="G2" s="22"/>
    </row>
    <row r="4" spans="1:7">
      <c r="A4" s="2" t="s">
        <v>156</v>
      </c>
      <c r="B4" s="2" t="s">
        <v>157</v>
      </c>
      <c r="C4" s="2" t="s">
        <v>158</v>
      </c>
      <c r="D4" s="2" t="s">
        <v>159</v>
      </c>
      <c r="E4" s="2" t="s">
        <v>160</v>
      </c>
      <c r="F4" s="2" t="s">
        <v>161</v>
      </c>
      <c r="G4" s="2" t="s">
        <v>162</v>
      </c>
    </row>
    <row r="5" spans="1:7" ht="27.6">
      <c r="A5" s="3" t="s">
        <v>102</v>
      </c>
      <c r="B5" s="3" t="s">
        <v>163</v>
      </c>
      <c r="C5" s="3" t="s">
        <v>164</v>
      </c>
      <c r="D5" s="3" t="s">
        <v>165</v>
      </c>
      <c r="E5" s="3" t="s">
        <v>166</v>
      </c>
      <c r="F5" s="3" t="s">
        <v>167</v>
      </c>
      <c r="G5" s="3" t="s">
        <v>168</v>
      </c>
    </row>
    <row r="6" spans="1:7" ht="27.6">
      <c r="A6" s="3" t="s">
        <v>169</v>
      </c>
      <c r="B6" s="3" t="s">
        <v>170</v>
      </c>
      <c r="C6" s="3" t="s">
        <v>164</v>
      </c>
      <c r="D6" s="3" t="s">
        <v>171</v>
      </c>
      <c r="E6" s="3" t="s">
        <v>172</v>
      </c>
      <c r="F6" s="3" t="s">
        <v>173</v>
      </c>
      <c r="G6" s="3" t="s">
        <v>168</v>
      </c>
    </row>
    <row r="7" spans="1:7">
      <c r="A7" s="3" t="s">
        <v>111</v>
      </c>
      <c r="B7" s="3" t="s">
        <v>174</v>
      </c>
      <c r="C7" s="3" t="s">
        <v>175</v>
      </c>
      <c r="D7" s="3" t="s">
        <v>171</v>
      </c>
      <c r="E7" s="3" t="s">
        <v>176</v>
      </c>
      <c r="F7" s="3" t="s">
        <v>177</v>
      </c>
      <c r="G7" s="3" t="s">
        <v>178</v>
      </c>
    </row>
    <row r="8" spans="1:7" ht="27.6">
      <c r="A8" s="3" t="s">
        <v>77</v>
      </c>
      <c r="B8" s="3" t="s">
        <v>179</v>
      </c>
      <c r="C8" s="3" t="s">
        <v>164</v>
      </c>
      <c r="D8" s="3" t="s">
        <v>180</v>
      </c>
      <c r="E8" s="3" t="s">
        <v>181</v>
      </c>
      <c r="F8" s="3" t="s">
        <v>182</v>
      </c>
      <c r="G8" s="3" t="s">
        <v>168</v>
      </c>
    </row>
    <row r="9" spans="1:7" ht="27.6">
      <c r="A9" s="3" t="s">
        <v>183</v>
      </c>
      <c r="B9" s="3" t="s">
        <v>184</v>
      </c>
      <c r="C9" s="3" t="s">
        <v>164</v>
      </c>
      <c r="D9" s="3" t="s">
        <v>180</v>
      </c>
      <c r="E9" s="3" t="s">
        <v>185</v>
      </c>
      <c r="F9" s="3" t="s">
        <v>79</v>
      </c>
      <c r="G9" s="3" t="s">
        <v>168</v>
      </c>
    </row>
    <row r="10" spans="1:7">
      <c r="A10" s="3" t="s">
        <v>86</v>
      </c>
      <c r="B10" s="3" t="s">
        <v>186</v>
      </c>
      <c r="C10" s="3" t="s">
        <v>175</v>
      </c>
      <c r="D10" s="3" t="s">
        <v>171</v>
      </c>
      <c r="E10" s="3" t="s">
        <v>187</v>
      </c>
      <c r="F10" s="3" t="s">
        <v>188</v>
      </c>
      <c r="G10" s="3" t="s">
        <v>189</v>
      </c>
    </row>
    <row r="11" spans="1:7">
      <c r="A11" s="3" t="s">
        <v>190</v>
      </c>
      <c r="B11" s="3" t="s">
        <v>191</v>
      </c>
      <c r="C11" s="3" t="s">
        <v>175</v>
      </c>
      <c r="D11" s="3" t="s">
        <v>171</v>
      </c>
      <c r="E11" s="3" t="s">
        <v>192</v>
      </c>
      <c r="F11" s="3" t="s">
        <v>193</v>
      </c>
      <c r="G11" s="3" t="s">
        <v>194</v>
      </c>
    </row>
    <row r="12" spans="1:7">
      <c r="A12" s="3" t="s">
        <v>195</v>
      </c>
      <c r="B12" s="3" t="s">
        <v>196</v>
      </c>
      <c r="C12" s="3" t="s">
        <v>175</v>
      </c>
      <c r="D12" s="3" t="s">
        <v>171</v>
      </c>
      <c r="E12" s="3" t="s">
        <v>197</v>
      </c>
      <c r="F12" s="3" t="s">
        <v>198</v>
      </c>
      <c r="G12" s="3" t="s">
        <v>194</v>
      </c>
    </row>
    <row r="13" spans="1:7">
      <c r="A13" s="3" t="s">
        <v>199</v>
      </c>
      <c r="B13" s="3" t="s">
        <v>200</v>
      </c>
      <c r="C13" s="3" t="s">
        <v>201</v>
      </c>
      <c r="D13" s="3" t="s">
        <v>171</v>
      </c>
      <c r="E13" s="3" t="s">
        <v>202</v>
      </c>
      <c r="F13" s="3" t="s">
        <v>203</v>
      </c>
      <c r="G13" s="3" t="s">
        <v>204</v>
      </c>
    </row>
    <row r="14" spans="1:7">
      <c r="A14" s="3" t="s">
        <v>205</v>
      </c>
      <c r="B14" s="3" t="s">
        <v>206</v>
      </c>
      <c r="C14" s="3" t="s">
        <v>201</v>
      </c>
      <c r="D14" s="3" t="s">
        <v>171</v>
      </c>
      <c r="E14" s="3" t="s">
        <v>207</v>
      </c>
      <c r="F14" s="3" t="s">
        <v>208</v>
      </c>
      <c r="G14" s="3" t="s">
        <v>204</v>
      </c>
    </row>
    <row r="15" spans="1:7" ht="27.6">
      <c r="A15" s="3" t="s">
        <v>209</v>
      </c>
      <c r="B15" s="3" t="s">
        <v>210</v>
      </c>
      <c r="C15" s="3" t="s">
        <v>164</v>
      </c>
      <c r="D15" s="3" t="s">
        <v>211</v>
      </c>
      <c r="E15" s="3" t="s">
        <v>212</v>
      </c>
      <c r="F15" s="3" t="s">
        <v>213</v>
      </c>
      <c r="G15" s="3" t="s">
        <v>214</v>
      </c>
    </row>
    <row r="16" spans="1:7">
      <c r="A16" s="3" t="s">
        <v>215</v>
      </c>
      <c r="B16" s="3" t="s">
        <v>216</v>
      </c>
      <c r="C16" s="3" t="s">
        <v>164</v>
      </c>
      <c r="D16" s="3" t="s">
        <v>217</v>
      </c>
      <c r="E16" s="3" t="s">
        <v>218</v>
      </c>
      <c r="F16" s="3" t="s">
        <v>219</v>
      </c>
      <c r="G16" s="3" t="s">
        <v>220</v>
      </c>
    </row>
    <row r="17" spans="1:7">
      <c r="A17" s="3" t="s">
        <v>221</v>
      </c>
      <c r="B17" s="3" t="s">
        <v>222</v>
      </c>
      <c r="C17" s="3" t="s">
        <v>164</v>
      </c>
      <c r="D17" s="3" t="s">
        <v>171</v>
      </c>
      <c r="E17" s="3" t="s">
        <v>223</v>
      </c>
      <c r="F17" s="3" t="s">
        <v>224</v>
      </c>
      <c r="G17" s="3" t="s">
        <v>225</v>
      </c>
    </row>
    <row r="18" spans="1:7">
      <c r="A18" s="3" t="s">
        <v>226</v>
      </c>
      <c r="B18" s="3" t="s">
        <v>227</v>
      </c>
      <c r="C18" s="3" t="s">
        <v>175</v>
      </c>
      <c r="D18" s="3" t="s">
        <v>171</v>
      </c>
      <c r="E18" s="3" t="s">
        <v>228</v>
      </c>
      <c r="F18" s="3" t="s">
        <v>229</v>
      </c>
      <c r="G18" s="3" t="s">
        <v>230</v>
      </c>
    </row>
    <row r="19" spans="1:7">
      <c r="A19" s="3" t="s">
        <v>231</v>
      </c>
      <c r="B19" s="3" t="s">
        <v>232</v>
      </c>
      <c r="C19" s="3" t="s">
        <v>201</v>
      </c>
      <c r="D19" s="3" t="s">
        <v>180</v>
      </c>
      <c r="E19" s="3" t="s">
        <v>233</v>
      </c>
      <c r="F19" s="3" t="s">
        <v>234</v>
      </c>
      <c r="G19" s="3" t="s">
        <v>235</v>
      </c>
    </row>
    <row r="20" spans="1:7">
      <c r="A20" s="3" t="s">
        <v>236</v>
      </c>
      <c r="B20" s="3" t="s">
        <v>237</v>
      </c>
      <c r="C20" s="3" t="s">
        <v>238</v>
      </c>
      <c r="D20" s="3" t="s">
        <v>180</v>
      </c>
      <c r="E20" s="3" t="s">
        <v>239</v>
      </c>
      <c r="F20" s="3" t="s">
        <v>75</v>
      </c>
      <c r="G20" s="3" t="s">
        <v>240</v>
      </c>
    </row>
    <row r="21" spans="1:7">
      <c r="A21" s="3" t="s">
        <v>241</v>
      </c>
      <c r="B21" s="3" t="s">
        <v>242</v>
      </c>
      <c r="C21" s="3" t="s">
        <v>238</v>
      </c>
      <c r="D21" s="3" t="s">
        <v>243</v>
      </c>
      <c r="E21" s="3" t="s">
        <v>244</v>
      </c>
      <c r="F21" s="3" t="s">
        <v>75</v>
      </c>
      <c r="G21" s="3" t="s">
        <v>240</v>
      </c>
    </row>
    <row r="22" spans="1:7" ht="27.6">
      <c r="A22" s="3" t="s">
        <v>245</v>
      </c>
      <c r="B22" s="3" t="s">
        <v>246</v>
      </c>
      <c r="C22" s="3" t="s">
        <v>247</v>
      </c>
      <c r="D22" s="3" t="s">
        <v>180</v>
      </c>
      <c r="E22" s="3" t="s">
        <v>248</v>
      </c>
      <c r="F22" s="3" t="s">
        <v>249</v>
      </c>
      <c r="G22" s="3" t="s">
        <v>250</v>
      </c>
    </row>
    <row r="23" spans="1:7" ht="27.6">
      <c r="A23" s="3" t="s">
        <v>95</v>
      </c>
      <c r="B23" s="3" t="s">
        <v>251</v>
      </c>
      <c r="C23" s="3" t="s">
        <v>247</v>
      </c>
      <c r="D23" s="3" t="s">
        <v>180</v>
      </c>
      <c r="E23" s="3" t="s">
        <v>252</v>
      </c>
      <c r="F23" s="3" t="s">
        <v>249</v>
      </c>
      <c r="G23" s="3" t="s">
        <v>250</v>
      </c>
    </row>
    <row r="24" spans="1:7" ht="27.6">
      <c r="A24" s="3" t="s">
        <v>253</v>
      </c>
      <c r="B24" s="3" t="s">
        <v>254</v>
      </c>
      <c r="C24" s="3" t="s">
        <v>247</v>
      </c>
      <c r="D24" s="3" t="s">
        <v>180</v>
      </c>
      <c r="E24" s="3" t="s">
        <v>255</v>
      </c>
      <c r="F24" s="3" t="s">
        <v>249</v>
      </c>
      <c r="G24" s="3" t="s">
        <v>250</v>
      </c>
    </row>
    <row r="25" spans="1:7">
      <c r="A25" s="3" t="s">
        <v>256</v>
      </c>
      <c r="B25" s="3" t="s">
        <v>257</v>
      </c>
      <c r="C25" s="3" t="s">
        <v>247</v>
      </c>
      <c r="D25" s="3" t="s">
        <v>258</v>
      </c>
      <c r="E25" s="3" t="s">
        <v>259</v>
      </c>
      <c r="F25" s="3" t="s">
        <v>249</v>
      </c>
      <c r="G25" s="3" t="s">
        <v>260</v>
      </c>
    </row>
    <row r="26" spans="1:7">
      <c r="A26" s="3" t="s">
        <v>261</v>
      </c>
      <c r="B26" s="3" t="s">
        <v>262</v>
      </c>
      <c r="C26" s="3" t="s">
        <v>164</v>
      </c>
      <c r="D26" s="3" t="s">
        <v>263</v>
      </c>
      <c r="E26" s="3" t="s">
        <v>264</v>
      </c>
      <c r="F26" s="3" t="s">
        <v>265</v>
      </c>
      <c r="G26" s="3" t="s">
        <v>266</v>
      </c>
    </row>
    <row r="27" spans="1:7">
      <c r="A27" s="3" t="s">
        <v>267</v>
      </c>
      <c r="B27" s="3" t="s">
        <v>268</v>
      </c>
      <c r="C27" s="3" t="s">
        <v>164</v>
      </c>
      <c r="D27" s="3" t="s">
        <v>263</v>
      </c>
      <c r="E27" s="3" t="s">
        <v>269</v>
      </c>
      <c r="F27" s="3" t="s">
        <v>270</v>
      </c>
      <c r="G27" s="3" t="s">
        <v>266</v>
      </c>
    </row>
    <row r="28" spans="1:7">
      <c r="A28" s="3" t="s">
        <v>271</v>
      </c>
      <c r="B28" s="3" t="s">
        <v>272</v>
      </c>
      <c r="C28" s="3" t="s">
        <v>164</v>
      </c>
      <c r="D28" s="3" t="s">
        <v>263</v>
      </c>
      <c r="E28" s="3" t="s">
        <v>273</v>
      </c>
      <c r="F28" s="3" t="s">
        <v>274</v>
      </c>
      <c r="G28" s="3" t="s">
        <v>266</v>
      </c>
    </row>
    <row r="29" spans="1:7">
      <c r="A29" s="3" t="s">
        <v>275</v>
      </c>
      <c r="B29" s="3" t="s">
        <v>276</v>
      </c>
      <c r="C29" s="3" t="s">
        <v>201</v>
      </c>
      <c r="D29" s="3" t="s">
        <v>263</v>
      </c>
      <c r="E29" s="3" t="s">
        <v>277</v>
      </c>
      <c r="F29" s="3" t="s">
        <v>278</v>
      </c>
      <c r="G29" s="3" t="s">
        <v>235</v>
      </c>
    </row>
    <row r="30" spans="1:7">
      <c r="A30" s="3" t="s">
        <v>279</v>
      </c>
      <c r="B30" s="3" t="s">
        <v>280</v>
      </c>
      <c r="C30" s="3" t="s">
        <v>201</v>
      </c>
      <c r="D30" s="3" t="s">
        <v>263</v>
      </c>
      <c r="E30" s="3" t="s">
        <v>281</v>
      </c>
      <c r="F30" s="3" t="s">
        <v>282</v>
      </c>
      <c r="G30" s="3" t="s">
        <v>235</v>
      </c>
    </row>
    <row r="31" spans="1:7">
      <c r="A31" s="3" t="s">
        <v>283</v>
      </c>
      <c r="B31" s="3" t="s">
        <v>284</v>
      </c>
      <c r="C31" s="3" t="s">
        <v>201</v>
      </c>
      <c r="D31" s="3" t="s">
        <v>263</v>
      </c>
      <c r="E31" s="3" t="s">
        <v>285</v>
      </c>
      <c r="F31" s="3" t="s">
        <v>286</v>
      </c>
      <c r="G31" s="3" t="s">
        <v>235</v>
      </c>
    </row>
    <row r="32" spans="1:7">
      <c r="A32" s="3" t="s">
        <v>287</v>
      </c>
      <c r="B32" s="3" t="s">
        <v>288</v>
      </c>
      <c r="C32" s="3" t="s">
        <v>201</v>
      </c>
      <c r="D32" s="3" t="s">
        <v>263</v>
      </c>
      <c r="E32" s="3" t="s">
        <v>289</v>
      </c>
      <c r="F32" s="3" t="s">
        <v>290</v>
      </c>
      <c r="G32" s="3" t="s">
        <v>235</v>
      </c>
    </row>
    <row r="33" spans="1:7">
      <c r="A33" s="3" t="s">
        <v>291</v>
      </c>
      <c r="B33" s="3" t="s">
        <v>292</v>
      </c>
      <c r="C33" s="3" t="s">
        <v>201</v>
      </c>
      <c r="D33" s="3" t="s">
        <v>263</v>
      </c>
      <c r="E33" s="3" t="s">
        <v>293</v>
      </c>
      <c r="F33" s="3" t="s">
        <v>294</v>
      </c>
      <c r="G33" s="3" t="s">
        <v>235</v>
      </c>
    </row>
    <row r="34" spans="1:7">
      <c r="A34" s="3" t="s">
        <v>295</v>
      </c>
      <c r="B34" s="3" t="s">
        <v>296</v>
      </c>
      <c r="C34" s="3" t="s">
        <v>175</v>
      </c>
      <c r="D34" s="3" t="s">
        <v>263</v>
      </c>
      <c r="E34" s="3" t="s">
        <v>297</v>
      </c>
      <c r="F34" s="3" t="s">
        <v>298</v>
      </c>
      <c r="G34" s="3" t="s">
        <v>189</v>
      </c>
    </row>
    <row r="35" spans="1:7">
      <c r="A35" s="3" t="s">
        <v>299</v>
      </c>
      <c r="B35" s="3" t="s">
        <v>300</v>
      </c>
      <c r="C35" s="3" t="s">
        <v>175</v>
      </c>
      <c r="D35" s="3" t="s">
        <v>263</v>
      </c>
      <c r="E35" s="3" t="s">
        <v>301</v>
      </c>
      <c r="F35" s="3" t="s">
        <v>302</v>
      </c>
      <c r="G35" s="3" t="s">
        <v>303</v>
      </c>
    </row>
    <row r="36" spans="1:7" ht="27.6">
      <c r="A36" s="3" t="s">
        <v>304</v>
      </c>
      <c r="B36" s="3" t="s">
        <v>305</v>
      </c>
      <c r="C36" s="3" t="s">
        <v>247</v>
      </c>
      <c r="D36" s="3" t="s">
        <v>263</v>
      </c>
      <c r="E36" s="3" t="s">
        <v>306</v>
      </c>
      <c r="F36" s="3" t="s">
        <v>249</v>
      </c>
      <c r="G36" s="3" t="s">
        <v>307</v>
      </c>
    </row>
    <row r="37" spans="1:7">
      <c r="A37" s="3" t="s">
        <v>308</v>
      </c>
      <c r="B37" s="3" t="s">
        <v>309</v>
      </c>
      <c r="C37" s="3" t="s">
        <v>201</v>
      </c>
      <c r="D37" s="3" t="s">
        <v>263</v>
      </c>
      <c r="E37" s="3" t="s">
        <v>310</v>
      </c>
      <c r="F37" s="3" t="s">
        <v>311</v>
      </c>
      <c r="G37" s="3" t="s">
        <v>235</v>
      </c>
    </row>
    <row r="38" spans="1:7">
      <c r="A38" s="3" t="s">
        <v>312</v>
      </c>
      <c r="B38" s="3" t="s">
        <v>313</v>
      </c>
      <c r="C38" s="3" t="s">
        <v>201</v>
      </c>
      <c r="D38" s="3" t="s">
        <v>263</v>
      </c>
      <c r="E38" s="3" t="s">
        <v>314</v>
      </c>
      <c r="F38" s="3" t="s">
        <v>315</v>
      </c>
      <c r="G38" s="3" t="s">
        <v>235</v>
      </c>
    </row>
    <row r="39" spans="1:7">
      <c r="A39" s="3" t="s">
        <v>316</v>
      </c>
      <c r="B39" s="3" t="s">
        <v>317</v>
      </c>
      <c r="C39" s="3" t="s">
        <v>238</v>
      </c>
      <c r="D39" s="3" t="s">
        <v>263</v>
      </c>
      <c r="E39" s="3" t="s">
        <v>318</v>
      </c>
      <c r="F39" s="3" t="s">
        <v>119</v>
      </c>
      <c r="G39" s="3" t="s">
        <v>319</v>
      </c>
    </row>
    <row r="40" spans="1:7">
      <c r="A40" s="3" t="s">
        <v>320</v>
      </c>
      <c r="B40" s="3" t="s">
        <v>321</v>
      </c>
      <c r="C40" s="3" t="s">
        <v>201</v>
      </c>
      <c r="D40" s="3" t="s">
        <v>322</v>
      </c>
      <c r="E40" s="3" t="s">
        <v>323</v>
      </c>
      <c r="F40" s="3" t="s">
        <v>324</v>
      </c>
      <c r="G40" s="3" t="s">
        <v>235</v>
      </c>
    </row>
    <row r="41" spans="1:7">
      <c r="A41" s="3" t="s">
        <v>325</v>
      </c>
      <c r="B41" s="3" t="s">
        <v>326</v>
      </c>
      <c r="C41" s="3" t="s">
        <v>164</v>
      </c>
      <c r="D41" s="3" t="s">
        <v>327</v>
      </c>
      <c r="E41" s="3" t="s">
        <v>328</v>
      </c>
      <c r="F41" s="3" t="s">
        <v>329</v>
      </c>
      <c r="G41" s="3" t="s">
        <v>266</v>
      </c>
    </row>
    <row r="42" spans="1:7">
      <c r="A42" s="3" t="s">
        <v>330</v>
      </c>
      <c r="B42" s="3" t="s">
        <v>331</v>
      </c>
      <c r="C42" s="3" t="s">
        <v>164</v>
      </c>
      <c r="D42" s="3" t="s">
        <v>327</v>
      </c>
      <c r="E42" s="3" t="s">
        <v>332</v>
      </c>
      <c r="F42" s="3" t="s">
        <v>333</v>
      </c>
      <c r="G42" s="3" t="s">
        <v>266</v>
      </c>
    </row>
    <row r="43" spans="1:7">
      <c r="A43" s="3" t="s">
        <v>334</v>
      </c>
      <c r="B43" s="3" t="s">
        <v>335</v>
      </c>
      <c r="C43" s="3" t="s">
        <v>201</v>
      </c>
      <c r="D43" s="3" t="s">
        <v>327</v>
      </c>
      <c r="E43" s="3" t="s">
        <v>336</v>
      </c>
      <c r="F43" s="3" t="s">
        <v>337</v>
      </c>
      <c r="G43" s="3" t="s">
        <v>235</v>
      </c>
    </row>
    <row r="44" spans="1:7">
      <c r="A44" s="3" t="s">
        <v>338</v>
      </c>
      <c r="B44" s="3" t="s">
        <v>339</v>
      </c>
      <c r="C44" s="3" t="s">
        <v>201</v>
      </c>
      <c r="D44" s="3" t="s">
        <v>327</v>
      </c>
      <c r="E44" s="3" t="s">
        <v>340</v>
      </c>
      <c r="F44" s="3" t="s">
        <v>341</v>
      </c>
      <c r="G44" s="3" t="s">
        <v>235</v>
      </c>
    </row>
    <row r="45" spans="1:7">
      <c r="A45" s="3" t="s">
        <v>342</v>
      </c>
      <c r="B45" s="3" t="s">
        <v>343</v>
      </c>
      <c r="C45" s="3" t="s">
        <v>238</v>
      </c>
      <c r="D45" s="3" t="s">
        <v>327</v>
      </c>
      <c r="E45" s="3" t="s">
        <v>344</v>
      </c>
      <c r="F45" s="3" t="s">
        <v>119</v>
      </c>
      <c r="G45" s="3" t="s">
        <v>240</v>
      </c>
    </row>
    <row r="46" spans="1:7">
      <c r="A46" s="3" t="s">
        <v>345</v>
      </c>
      <c r="B46" s="3" t="s">
        <v>346</v>
      </c>
      <c r="C46" s="3" t="s">
        <v>201</v>
      </c>
      <c r="D46" s="3" t="s">
        <v>347</v>
      </c>
      <c r="E46" s="3" t="s">
        <v>323</v>
      </c>
      <c r="F46" s="3" t="s">
        <v>348</v>
      </c>
      <c r="G46" s="3" t="s">
        <v>235</v>
      </c>
    </row>
    <row r="47" spans="1:7">
      <c r="A47" s="3" t="s">
        <v>349</v>
      </c>
      <c r="B47" s="3" t="s">
        <v>350</v>
      </c>
      <c r="C47" s="3" t="s">
        <v>201</v>
      </c>
      <c r="D47" s="3" t="s">
        <v>347</v>
      </c>
      <c r="E47" s="3" t="s">
        <v>310</v>
      </c>
      <c r="F47" s="3" t="s">
        <v>311</v>
      </c>
      <c r="G47" s="3" t="s">
        <v>235</v>
      </c>
    </row>
    <row r="48" spans="1:7">
      <c r="A48" s="3" t="s">
        <v>351</v>
      </c>
      <c r="B48" s="3" t="s">
        <v>352</v>
      </c>
      <c r="C48" s="3" t="s">
        <v>201</v>
      </c>
      <c r="D48" s="3" t="s">
        <v>347</v>
      </c>
      <c r="E48" s="3" t="s">
        <v>314</v>
      </c>
      <c r="F48" s="3" t="s">
        <v>315</v>
      </c>
      <c r="G48" s="3" t="s">
        <v>235</v>
      </c>
    </row>
    <row r="49" spans="1:7">
      <c r="A49" s="3" t="s">
        <v>353</v>
      </c>
      <c r="B49" s="3" t="s">
        <v>354</v>
      </c>
      <c r="C49" s="3" t="s">
        <v>175</v>
      </c>
      <c r="D49" s="3" t="s">
        <v>347</v>
      </c>
      <c r="E49" s="3" t="s">
        <v>355</v>
      </c>
      <c r="F49" s="3" t="s">
        <v>356</v>
      </c>
      <c r="G49" s="3" t="s">
        <v>194</v>
      </c>
    </row>
    <row r="50" spans="1:7">
      <c r="A50" s="3" t="s">
        <v>357</v>
      </c>
      <c r="B50" s="3" t="s">
        <v>358</v>
      </c>
      <c r="C50" s="3" t="s">
        <v>164</v>
      </c>
      <c r="D50" s="3" t="s">
        <v>359</v>
      </c>
      <c r="E50" s="3" t="s">
        <v>360</v>
      </c>
      <c r="F50" s="3" t="s">
        <v>361</v>
      </c>
      <c r="G50" s="3" t="s">
        <v>266</v>
      </c>
    </row>
    <row r="51" spans="1:7">
      <c r="A51" s="3" t="s">
        <v>362</v>
      </c>
      <c r="B51" s="3" t="s">
        <v>363</v>
      </c>
      <c r="C51" s="3" t="s">
        <v>164</v>
      </c>
      <c r="D51" s="3" t="s">
        <v>359</v>
      </c>
      <c r="E51" s="3" t="s">
        <v>364</v>
      </c>
      <c r="F51" s="3" t="s">
        <v>365</v>
      </c>
      <c r="G51" s="3" t="s">
        <v>266</v>
      </c>
    </row>
    <row r="52" spans="1:7">
      <c r="A52" s="3" t="s">
        <v>366</v>
      </c>
      <c r="B52" s="3" t="s">
        <v>367</v>
      </c>
      <c r="C52" s="3" t="s">
        <v>201</v>
      </c>
      <c r="D52" s="3" t="s">
        <v>368</v>
      </c>
      <c r="E52" s="3" t="s">
        <v>369</v>
      </c>
      <c r="F52" s="3" t="s">
        <v>370</v>
      </c>
      <c r="G52" s="3" t="s">
        <v>235</v>
      </c>
    </row>
    <row r="53" spans="1:7">
      <c r="A53" s="3" t="s">
        <v>371</v>
      </c>
      <c r="B53" s="3" t="s">
        <v>372</v>
      </c>
      <c r="C53" s="3" t="s">
        <v>201</v>
      </c>
      <c r="D53" s="3" t="s">
        <v>373</v>
      </c>
      <c r="E53" s="3" t="s">
        <v>374</v>
      </c>
      <c r="F53" s="3" t="s">
        <v>375</v>
      </c>
      <c r="G53" s="3" t="s">
        <v>235</v>
      </c>
    </row>
    <row r="54" spans="1:7">
      <c r="A54" s="3" t="s">
        <v>376</v>
      </c>
      <c r="B54" s="3" t="s">
        <v>377</v>
      </c>
      <c r="C54" s="3" t="s">
        <v>201</v>
      </c>
      <c r="D54" s="3" t="s">
        <v>373</v>
      </c>
      <c r="E54" s="3" t="s">
        <v>378</v>
      </c>
      <c r="F54" s="3" t="s">
        <v>379</v>
      </c>
      <c r="G54" s="3" t="s">
        <v>235</v>
      </c>
    </row>
    <row r="55" spans="1:7">
      <c r="A55" s="3" t="s">
        <v>380</v>
      </c>
      <c r="B55" s="3" t="s">
        <v>381</v>
      </c>
      <c r="C55" s="3" t="s">
        <v>201</v>
      </c>
      <c r="D55" s="3" t="s">
        <v>373</v>
      </c>
      <c r="E55" s="3" t="s">
        <v>382</v>
      </c>
      <c r="F55" s="3" t="s">
        <v>383</v>
      </c>
      <c r="G55" s="3" t="s">
        <v>235</v>
      </c>
    </row>
    <row r="56" spans="1:7">
      <c r="A56" s="3" t="s">
        <v>384</v>
      </c>
      <c r="B56" s="3" t="s">
        <v>385</v>
      </c>
      <c r="C56" s="3" t="s">
        <v>201</v>
      </c>
      <c r="D56" s="3" t="s">
        <v>373</v>
      </c>
      <c r="E56" s="3" t="s">
        <v>386</v>
      </c>
      <c r="F56" s="3" t="s">
        <v>387</v>
      </c>
      <c r="G56" s="3" t="s">
        <v>235</v>
      </c>
    </row>
    <row r="57" spans="1:7">
      <c r="A57" s="3" t="s">
        <v>388</v>
      </c>
      <c r="B57" s="3" t="s">
        <v>389</v>
      </c>
      <c r="C57" s="3" t="s">
        <v>175</v>
      </c>
      <c r="D57" s="3" t="s">
        <v>390</v>
      </c>
      <c r="E57" s="3" t="s">
        <v>391</v>
      </c>
      <c r="F57" s="3" t="s">
        <v>392</v>
      </c>
      <c r="G57" s="3" t="s">
        <v>189</v>
      </c>
    </row>
    <row r="58" spans="1:7">
      <c r="A58" s="3" t="s">
        <v>393</v>
      </c>
      <c r="B58" s="3" t="s">
        <v>394</v>
      </c>
      <c r="C58" s="3" t="s">
        <v>175</v>
      </c>
      <c r="D58" s="3" t="s">
        <v>258</v>
      </c>
      <c r="E58" s="3" t="s">
        <v>395</v>
      </c>
      <c r="F58" s="3" t="s">
        <v>396</v>
      </c>
      <c r="G58" s="3" t="s">
        <v>189</v>
      </c>
    </row>
    <row r="59" spans="1:7">
      <c r="A59" s="3" t="s">
        <v>397</v>
      </c>
      <c r="B59" s="3" t="s">
        <v>398</v>
      </c>
      <c r="C59" s="3" t="s">
        <v>175</v>
      </c>
      <c r="D59" s="3" t="s">
        <v>390</v>
      </c>
      <c r="E59" s="3" t="s">
        <v>399</v>
      </c>
      <c r="F59" s="3" t="s">
        <v>400</v>
      </c>
      <c r="G59" s="3" t="s">
        <v>189</v>
      </c>
    </row>
    <row r="60" spans="1:7">
      <c r="A60" s="3" t="s">
        <v>401</v>
      </c>
      <c r="B60" s="3" t="s">
        <v>402</v>
      </c>
      <c r="C60" s="3" t="s">
        <v>201</v>
      </c>
      <c r="D60" s="3" t="s">
        <v>403</v>
      </c>
      <c r="E60" s="3" t="s">
        <v>404</v>
      </c>
      <c r="F60" s="3" t="s">
        <v>405</v>
      </c>
      <c r="G60" s="3" t="s">
        <v>235</v>
      </c>
    </row>
    <row r="61" spans="1:7">
      <c r="A61" s="3" t="s">
        <v>406</v>
      </c>
      <c r="B61" s="3" t="s">
        <v>407</v>
      </c>
      <c r="C61" s="3" t="s">
        <v>201</v>
      </c>
      <c r="D61" s="3" t="s">
        <v>403</v>
      </c>
      <c r="E61" s="3" t="s">
        <v>404</v>
      </c>
      <c r="F61" s="3" t="s">
        <v>408</v>
      </c>
      <c r="G61" s="3" t="s">
        <v>235</v>
      </c>
    </row>
    <row r="62" spans="1:7">
      <c r="A62" s="3" t="s">
        <v>409</v>
      </c>
      <c r="B62" s="3" t="s">
        <v>410</v>
      </c>
      <c r="C62" s="3" t="s">
        <v>201</v>
      </c>
      <c r="D62" s="3" t="s">
        <v>403</v>
      </c>
      <c r="E62" s="3" t="s">
        <v>404</v>
      </c>
      <c r="F62" s="3" t="s">
        <v>411</v>
      </c>
      <c r="G62" s="3" t="s">
        <v>235</v>
      </c>
    </row>
    <row r="63" spans="1:7">
      <c r="A63" s="3" t="s">
        <v>412</v>
      </c>
      <c r="B63" s="3" t="s">
        <v>413</v>
      </c>
      <c r="C63" s="3" t="s">
        <v>238</v>
      </c>
      <c r="D63" s="3" t="s">
        <v>258</v>
      </c>
      <c r="E63" s="3" t="s">
        <v>414</v>
      </c>
      <c r="F63" s="3" t="s">
        <v>75</v>
      </c>
      <c r="G63" s="3" t="s">
        <v>319</v>
      </c>
    </row>
    <row r="64" spans="1:7">
      <c r="A64" s="3" t="s">
        <v>415</v>
      </c>
      <c r="B64" s="3" t="s">
        <v>416</v>
      </c>
      <c r="C64" s="3" t="s">
        <v>238</v>
      </c>
      <c r="D64" s="3" t="s">
        <v>258</v>
      </c>
      <c r="E64" s="3" t="s">
        <v>417</v>
      </c>
      <c r="F64" s="3" t="s">
        <v>119</v>
      </c>
      <c r="G64" s="3" t="s">
        <v>240</v>
      </c>
    </row>
    <row r="65" spans="1:7">
      <c r="A65" s="3" t="s">
        <v>418</v>
      </c>
      <c r="B65" s="3" t="s">
        <v>419</v>
      </c>
      <c r="C65" s="3" t="s">
        <v>201</v>
      </c>
      <c r="D65" s="3" t="s">
        <v>258</v>
      </c>
      <c r="E65" s="3" t="s">
        <v>420</v>
      </c>
      <c r="F65" s="3" t="s">
        <v>421</v>
      </c>
      <c r="G65" s="3" t="s">
        <v>235</v>
      </c>
    </row>
    <row r="66" spans="1:7">
      <c r="A66" s="3" t="s">
        <v>422</v>
      </c>
      <c r="B66" s="3" t="s">
        <v>423</v>
      </c>
      <c r="C66" s="3" t="s">
        <v>238</v>
      </c>
      <c r="D66" s="3" t="s">
        <v>258</v>
      </c>
      <c r="E66" s="3" t="s">
        <v>424</v>
      </c>
      <c r="F66" s="3" t="s">
        <v>119</v>
      </c>
      <c r="G66" s="3" t="s">
        <v>240</v>
      </c>
    </row>
    <row r="67" spans="1:7">
      <c r="A67" s="3" t="s">
        <v>425</v>
      </c>
      <c r="B67" s="3" t="s">
        <v>426</v>
      </c>
      <c r="C67" s="3" t="s">
        <v>238</v>
      </c>
      <c r="D67" s="3" t="s">
        <v>258</v>
      </c>
      <c r="E67" s="3" t="s">
        <v>427</v>
      </c>
      <c r="F67" s="3" t="s">
        <v>75</v>
      </c>
      <c r="G67" s="3" t="s">
        <v>240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"/>
  <sheetViews>
    <sheetView workbookViewId="0">
      <selection sqref="A1:E1"/>
    </sheetView>
  </sheetViews>
  <sheetFormatPr defaultRowHeight="13.8"/>
  <cols>
    <col min="1" max="1" width="24" customWidth="1"/>
    <col min="2" max="2" width="18" customWidth="1"/>
    <col min="3" max="3" width="16" customWidth="1"/>
    <col min="4" max="4" width="42" customWidth="1"/>
    <col min="5" max="5" width="36" customWidth="1"/>
  </cols>
  <sheetData>
    <row r="1" spans="1:5" ht="22.35" customHeight="1">
      <c r="A1" s="21" t="s">
        <v>428</v>
      </c>
      <c r="B1" s="22"/>
      <c r="C1" s="22"/>
      <c r="D1" s="22"/>
      <c r="E1" s="22"/>
    </row>
    <row r="2" spans="1:5" ht="22.35" customHeight="1">
      <c r="A2" s="23" t="s">
        <v>429</v>
      </c>
      <c r="B2" s="22"/>
      <c r="C2" s="22"/>
      <c r="D2" s="22"/>
      <c r="E2" s="22"/>
    </row>
    <row r="4" spans="1:5">
      <c r="A4" s="4" t="s">
        <v>430</v>
      </c>
      <c r="B4" s="4" t="s">
        <v>431</v>
      </c>
      <c r="C4" s="4" t="s">
        <v>158</v>
      </c>
      <c r="D4" s="4" t="s">
        <v>160</v>
      </c>
      <c r="E4" s="4" t="s">
        <v>161</v>
      </c>
    </row>
    <row r="5" spans="1:5">
      <c r="A5" s="3" t="s">
        <v>432</v>
      </c>
      <c r="B5" s="3" t="s">
        <v>78</v>
      </c>
      <c r="C5" s="3" t="s">
        <v>164</v>
      </c>
      <c r="D5" s="3" t="s">
        <v>433</v>
      </c>
      <c r="E5" s="3" t="s">
        <v>434</v>
      </c>
    </row>
    <row r="6" spans="1:5">
      <c r="A6" s="3" t="s">
        <v>435</v>
      </c>
      <c r="B6" s="3" t="s">
        <v>436</v>
      </c>
      <c r="C6" s="3" t="s">
        <v>164</v>
      </c>
      <c r="D6" s="3" t="s">
        <v>437</v>
      </c>
      <c r="E6" s="3" t="s">
        <v>438</v>
      </c>
    </row>
    <row r="7" spans="1:5">
      <c r="A7" s="3" t="s">
        <v>439</v>
      </c>
      <c r="B7" s="3" t="s">
        <v>440</v>
      </c>
      <c r="C7" s="3" t="s">
        <v>164</v>
      </c>
      <c r="D7" s="3" t="s">
        <v>441</v>
      </c>
      <c r="E7" s="3" t="s">
        <v>442</v>
      </c>
    </row>
    <row r="8" spans="1:5">
      <c r="A8" s="3" t="s">
        <v>443</v>
      </c>
      <c r="B8" s="3" t="s">
        <v>444</v>
      </c>
      <c r="C8" s="3" t="s">
        <v>164</v>
      </c>
      <c r="D8" s="3" t="s">
        <v>445</v>
      </c>
      <c r="E8" s="3" t="s">
        <v>446</v>
      </c>
    </row>
    <row r="9" spans="1:5">
      <c r="A9" s="3" t="s">
        <v>447</v>
      </c>
      <c r="B9" s="3" t="s">
        <v>448</v>
      </c>
      <c r="C9" s="3" t="s">
        <v>164</v>
      </c>
      <c r="D9" s="3" t="s">
        <v>449</v>
      </c>
      <c r="E9" s="3" t="s">
        <v>450</v>
      </c>
    </row>
    <row r="10" spans="1:5">
      <c r="A10" s="3" t="s">
        <v>451</v>
      </c>
      <c r="B10" s="3" t="s">
        <v>452</v>
      </c>
      <c r="C10" s="3" t="s">
        <v>164</v>
      </c>
      <c r="D10" s="3" t="s">
        <v>453</v>
      </c>
      <c r="E10" s="3" t="s">
        <v>454</v>
      </c>
    </row>
    <row r="11" spans="1:5">
      <c r="A11" s="3" t="s">
        <v>455</v>
      </c>
      <c r="B11" s="3" t="s">
        <v>103</v>
      </c>
      <c r="C11" s="3" t="s">
        <v>164</v>
      </c>
      <c r="D11" s="3" t="s">
        <v>456</v>
      </c>
      <c r="E11" s="3" t="s">
        <v>457</v>
      </c>
    </row>
    <row r="12" spans="1:5">
      <c r="A12" s="3" t="s">
        <v>458</v>
      </c>
      <c r="B12" s="3" t="s">
        <v>459</v>
      </c>
      <c r="C12" s="3" t="s">
        <v>164</v>
      </c>
      <c r="D12" s="3" t="s">
        <v>460</v>
      </c>
      <c r="E12" s="3" t="s">
        <v>461</v>
      </c>
    </row>
    <row r="13" spans="1:5">
      <c r="A13" s="3" t="s">
        <v>462</v>
      </c>
      <c r="B13" s="3" t="s">
        <v>463</v>
      </c>
      <c r="C13" s="3" t="s">
        <v>164</v>
      </c>
      <c r="D13" s="3" t="s">
        <v>464</v>
      </c>
      <c r="E13" s="3" t="s">
        <v>465</v>
      </c>
    </row>
    <row r="14" spans="1:5">
      <c r="A14" s="3" t="s">
        <v>466</v>
      </c>
      <c r="B14" s="3" t="s">
        <v>87</v>
      </c>
      <c r="C14" s="3" t="s">
        <v>175</v>
      </c>
      <c r="D14" s="3" t="s">
        <v>467</v>
      </c>
      <c r="E14" s="3" t="s">
        <v>468</v>
      </c>
    </row>
    <row r="15" spans="1:5">
      <c r="A15" s="3" t="s">
        <v>469</v>
      </c>
      <c r="B15" s="3" t="s">
        <v>470</v>
      </c>
      <c r="C15" s="3" t="s">
        <v>175</v>
      </c>
      <c r="D15" s="3" t="s">
        <v>471</v>
      </c>
      <c r="E15" s="3" t="s">
        <v>472</v>
      </c>
    </row>
    <row r="16" spans="1:5">
      <c r="A16" s="3" t="s">
        <v>473</v>
      </c>
      <c r="B16" s="3" t="s">
        <v>474</v>
      </c>
      <c r="C16" s="3" t="s">
        <v>175</v>
      </c>
      <c r="D16" s="3" t="s">
        <v>475</v>
      </c>
      <c r="E16" s="3" t="s">
        <v>476</v>
      </c>
    </row>
    <row r="17" spans="1:5">
      <c r="A17" s="3" t="s">
        <v>477</v>
      </c>
      <c r="B17" s="3" t="s">
        <v>478</v>
      </c>
      <c r="C17" s="3" t="s">
        <v>175</v>
      </c>
      <c r="D17" s="3" t="s">
        <v>479</v>
      </c>
      <c r="E17" s="3" t="s">
        <v>480</v>
      </c>
    </row>
    <row r="18" spans="1:5">
      <c r="A18" s="3" t="s">
        <v>481</v>
      </c>
      <c r="B18" s="3" t="s">
        <v>482</v>
      </c>
      <c r="C18" s="3" t="s">
        <v>201</v>
      </c>
      <c r="D18" s="3" t="s">
        <v>483</v>
      </c>
      <c r="E18" s="3" t="s">
        <v>484</v>
      </c>
    </row>
    <row r="19" spans="1:5">
      <c r="A19" s="3" t="s">
        <v>485</v>
      </c>
      <c r="B19" s="3" t="s">
        <v>486</v>
      </c>
      <c r="C19" s="3" t="s">
        <v>201</v>
      </c>
      <c r="D19" s="3" t="s">
        <v>487</v>
      </c>
      <c r="E19" s="3" t="s">
        <v>488</v>
      </c>
    </row>
    <row r="20" spans="1:5">
      <c r="A20" s="3" t="s">
        <v>489</v>
      </c>
      <c r="B20" s="3" t="s">
        <v>490</v>
      </c>
      <c r="C20" s="3" t="s">
        <v>201</v>
      </c>
      <c r="D20" s="3" t="s">
        <v>491</v>
      </c>
      <c r="E20" s="3" t="s">
        <v>492</v>
      </c>
    </row>
    <row r="21" spans="1:5">
      <c r="A21" s="3" t="s">
        <v>493</v>
      </c>
      <c r="B21" s="3" t="s">
        <v>494</v>
      </c>
      <c r="C21" s="3" t="s">
        <v>201</v>
      </c>
      <c r="D21" s="3" t="s">
        <v>495</v>
      </c>
      <c r="E21" s="3" t="s">
        <v>496</v>
      </c>
    </row>
    <row r="22" spans="1:5">
      <c r="A22" s="3" t="s">
        <v>497</v>
      </c>
      <c r="B22" s="3" t="s">
        <v>498</v>
      </c>
      <c r="C22" s="3" t="s">
        <v>201</v>
      </c>
      <c r="D22" s="3" t="s">
        <v>448</v>
      </c>
      <c r="E22" s="3" t="s">
        <v>499</v>
      </c>
    </row>
    <row r="23" spans="1:5">
      <c r="A23" s="3" t="s">
        <v>500</v>
      </c>
      <c r="B23" s="3" t="s">
        <v>501</v>
      </c>
      <c r="C23" s="3" t="s">
        <v>201</v>
      </c>
      <c r="D23" s="3" t="s">
        <v>502</v>
      </c>
      <c r="E23" s="3" t="s">
        <v>503</v>
      </c>
    </row>
    <row r="24" spans="1:5">
      <c r="A24" s="3" t="s">
        <v>504</v>
      </c>
      <c r="B24" s="3" t="s">
        <v>505</v>
      </c>
      <c r="C24" s="3" t="s">
        <v>201</v>
      </c>
      <c r="D24" s="3" t="s">
        <v>506</v>
      </c>
      <c r="E24" s="3" t="s">
        <v>507</v>
      </c>
    </row>
    <row r="25" spans="1:5">
      <c r="A25" s="3" t="s">
        <v>508</v>
      </c>
      <c r="B25" s="3" t="s">
        <v>509</v>
      </c>
      <c r="C25" s="3" t="s">
        <v>247</v>
      </c>
      <c r="D25" s="3" t="s">
        <v>510</v>
      </c>
      <c r="E25" s="3" t="s">
        <v>511</v>
      </c>
    </row>
    <row r="26" spans="1:5">
      <c r="A26" s="3" t="s">
        <v>512</v>
      </c>
      <c r="B26" s="3" t="s">
        <v>513</v>
      </c>
      <c r="C26" s="3" t="s">
        <v>247</v>
      </c>
      <c r="D26" s="3" t="s">
        <v>514</v>
      </c>
      <c r="E26" s="3" t="s">
        <v>515</v>
      </c>
    </row>
    <row r="27" spans="1:5">
      <c r="A27" s="3" t="s">
        <v>516</v>
      </c>
      <c r="B27" s="3" t="s">
        <v>517</v>
      </c>
      <c r="C27" s="3" t="s">
        <v>247</v>
      </c>
      <c r="D27" s="3" t="s">
        <v>518</v>
      </c>
      <c r="E27" s="3" t="s">
        <v>519</v>
      </c>
    </row>
    <row r="28" spans="1:5">
      <c r="A28" s="3" t="s">
        <v>520</v>
      </c>
      <c r="B28" s="3" t="s">
        <v>505</v>
      </c>
      <c r="C28" s="3" t="s">
        <v>247</v>
      </c>
      <c r="D28" s="3" t="s">
        <v>521</v>
      </c>
      <c r="E28" s="3" t="s">
        <v>522</v>
      </c>
    </row>
    <row r="29" spans="1:5">
      <c r="A29" s="3" t="s">
        <v>523</v>
      </c>
      <c r="B29" s="3" t="s">
        <v>524</v>
      </c>
      <c r="C29" s="3" t="s">
        <v>247</v>
      </c>
      <c r="D29" s="3" t="s">
        <v>525</v>
      </c>
      <c r="E29" s="3" t="s">
        <v>526</v>
      </c>
    </row>
    <row r="30" spans="1:5">
      <c r="A30" s="3" t="s">
        <v>527</v>
      </c>
      <c r="B30" s="3" t="s">
        <v>96</v>
      </c>
      <c r="C30" s="3" t="s">
        <v>247</v>
      </c>
      <c r="D30" s="3" t="s">
        <v>528</v>
      </c>
      <c r="E30" s="3" t="s">
        <v>529</v>
      </c>
    </row>
    <row r="31" spans="1:5">
      <c r="A31" s="3" t="s">
        <v>530</v>
      </c>
      <c r="B31" s="3" t="s">
        <v>531</v>
      </c>
      <c r="C31" s="3" t="s">
        <v>247</v>
      </c>
      <c r="D31" s="3" t="s">
        <v>531</v>
      </c>
      <c r="E31" s="3" t="s">
        <v>532</v>
      </c>
    </row>
    <row r="32" spans="1:5">
      <c r="A32" s="3" t="s">
        <v>533</v>
      </c>
      <c r="B32" s="3" t="s">
        <v>534</v>
      </c>
      <c r="C32" s="3" t="s">
        <v>247</v>
      </c>
      <c r="D32" s="3" t="s">
        <v>534</v>
      </c>
      <c r="E32" s="3" t="s">
        <v>535</v>
      </c>
    </row>
    <row r="33" spans="1:5">
      <c r="A33" s="3" t="s">
        <v>536</v>
      </c>
      <c r="B33" s="3" t="s">
        <v>537</v>
      </c>
      <c r="C33" s="3" t="s">
        <v>247</v>
      </c>
      <c r="D33" s="3" t="s">
        <v>538</v>
      </c>
      <c r="E33" s="3" t="s">
        <v>539</v>
      </c>
    </row>
    <row r="34" spans="1:5">
      <c r="A34" s="3" t="s">
        <v>540</v>
      </c>
      <c r="B34" s="3" t="s">
        <v>541</v>
      </c>
      <c r="C34" s="3" t="s">
        <v>247</v>
      </c>
      <c r="D34" s="3" t="s">
        <v>542</v>
      </c>
      <c r="E34" s="3" t="s">
        <v>543</v>
      </c>
    </row>
    <row r="35" spans="1:5">
      <c r="A35" s="3" t="s">
        <v>544</v>
      </c>
      <c r="B35" s="3" t="s">
        <v>545</v>
      </c>
      <c r="C35" s="3" t="s">
        <v>247</v>
      </c>
      <c r="D35" s="3" t="s">
        <v>546</v>
      </c>
      <c r="E35" s="3" t="s">
        <v>547</v>
      </c>
    </row>
    <row r="36" spans="1:5">
      <c r="A36" s="3" t="s">
        <v>548</v>
      </c>
      <c r="B36" s="3" t="s">
        <v>549</v>
      </c>
      <c r="C36" s="3" t="s">
        <v>238</v>
      </c>
      <c r="D36" s="3" t="s">
        <v>550</v>
      </c>
      <c r="E36" s="3" t="s">
        <v>551</v>
      </c>
    </row>
    <row r="37" spans="1:5">
      <c r="A37" s="3" t="s">
        <v>552</v>
      </c>
      <c r="B37" s="3" t="s">
        <v>553</v>
      </c>
      <c r="C37" s="3" t="s">
        <v>238</v>
      </c>
      <c r="D37" s="3" t="s">
        <v>554</v>
      </c>
      <c r="E37" s="3" t="s">
        <v>555</v>
      </c>
    </row>
    <row r="38" spans="1:5">
      <c r="A38" s="3" t="s">
        <v>556</v>
      </c>
      <c r="B38" s="3" t="s">
        <v>557</v>
      </c>
      <c r="C38" s="3" t="s">
        <v>557</v>
      </c>
      <c r="D38" s="3" t="s">
        <v>558</v>
      </c>
      <c r="E38" s="3" t="s">
        <v>559</v>
      </c>
    </row>
    <row r="39" spans="1:5">
      <c r="A39" s="3" t="s">
        <v>560</v>
      </c>
      <c r="B39" s="3" t="s">
        <v>561</v>
      </c>
      <c r="C39" s="3" t="s">
        <v>557</v>
      </c>
      <c r="D39" s="3" t="s">
        <v>562</v>
      </c>
      <c r="E39" s="3" t="s">
        <v>563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6"/>
  <sheetViews>
    <sheetView workbookViewId="0">
      <selection sqref="A1:K1"/>
    </sheetView>
  </sheetViews>
  <sheetFormatPr defaultRowHeight="13.8"/>
  <cols>
    <col min="1" max="1" width="18" customWidth="1"/>
    <col min="2" max="2" width="24" customWidth="1"/>
    <col min="3" max="3" width="18" customWidth="1"/>
    <col min="4" max="4" width="48" customWidth="1"/>
    <col min="5" max="9" width="18" customWidth="1"/>
    <col min="10" max="10" width="22" customWidth="1"/>
    <col min="11" max="11" width="36" customWidth="1"/>
  </cols>
  <sheetData>
    <row r="1" spans="1:11" ht="22.35" customHeight="1">
      <c r="A1" s="21" t="s">
        <v>564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22.35" customHeight="1">
      <c r="A2" s="23" t="s">
        <v>565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spans="1:11">
      <c r="A4" s="5" t="s">
        <v>566</v>
      </c>
      <c r="B4" s="5" t="s">
        <v>567</v>
      </c>
      <c r="C4" s="5" t="s">
        <v>568</v>
      </c>
      <c r="D4" s="5" t="s">
        <v>160</v>
      </c>
      <c r="E4" s="5" t="s">
        <v>569</v>
      </c>
      <c r="F4" s="5" t="s">
        <v>570</v>
      </c>
      <c r="G4" s="5" t="s">
        <v>571</v>
      </c>
      <c r="H4" s="5" t="s">
        <v>572</v>
      </c>
      <c r="I4" s="5" t="s">
        <v>573</v>
      </c>
      <c r="J4" s="5" t="s">
        <v>574</v>
      </c>
      <c r="K4" s="5" t="s">
        <v>575</v>
      </c>
    </row>
    <row r="5" spans="1:11">
      <c r="A5" s="3" t="s">
        <v>576</v>
      </c>
      <c r="B5" s="3" t="s">
        <v>577</v>
      </c>
      <c r="C5" s="3" t="s">
        <v>51</v>
      </c>
      <c r="D5" s="3" t="s">
        <v>578</v>
      </c>
      <c r="E5" s="3" t="s">
        <v>579</v>
      </c>
      <c r="F5" s="3" t="s">
        <v>580</v>
      </c>
      <c r="G5" s="3" t="s">
        <v>580</v>
      </c>
      <c r="H5" s="3" t="s">
        <v>581</v>
      </c>
      <c r="I5" s="3" t="s">
        <v>582</v>
      </c>
      <c r="J5" s="3" t="s">
        <v>83</v>
      </c>
      <c r="K5" s="3" t="s">
        <v>583</v>
      </c>
    </row>
    <row r="6" spans="1:11">
      <c r="A6" s="3" t="s">
        <v>584</v>
      </c>
      <c r="B6" s="3" t="s">
        <v>585</v>
      </c>
      <c r="C6" s="3" t="s">
        <v>51</v>
      </c>
      <c r="D6" s="3" t="s">
        <v>586</v>
      </c>
      <c r="E6" s="3" t="s">
        <v>579</v>
      </c>
      <c r="F6" s="3" t="s">
        <v>580</v>
      </c>
      <c r="G6" s="3" t="s">
        <v>580</v>
      </c>
      <c r="H6" s="3" t="s">
        <v>581</v>
      </c>
      <c r="I6" s="3" t="s">
        <v>582</v>
      </c>
      <c r="J6" s="3" t="s">
        <v>83</v>
      </c>
      <c r="K6" s="3" t="s">
        <v>82</v>
      </c>
    </row>
    <row r="7" spans="1:11" ht="27.6">
      <c r="A7" s="3" t="s">
        <v>80</v>
      </c>
      <c r="B7" s="3" t="s">
        <v>587</v>
      </c>
      <c r="C7" s="3" t="s">
        <v>45</v>
      </c>
      <c r="D7" s="3" t="s">
        <v>588</v>
      </c>
      <c r="E7" s="3" t="s">
        <v>579</v>
      </c>
      <c r="F7" s="3" t="s">
        <v>580</v>
      </c>
      <c r="G7" s="3" t="s">
        <v>580</v>
      </c>
      <c r="H7" s="3" t="s">
        <v>581</v>
      </c>
      <c r="I7" s="3" t="s">
        <v>582</v>
      </c>
      <c r="J7" s="3" t="s">
        <v>83</v>
      </c>
      <c r="K7" s="3" t="s">
        <v>589</v>
      </c>
    </row>
    <row r="8" spans="1:11">
      <c r="A8" s="3" t="s">
        <v>105</v>
      </c>
      <c r="B8" s="3" t="s">
        <v>590</v>
      </c>
      <c r="C8" s="3" t="s">
        <v>45</v>
      </c>
      <c r="D8" s="3" t="s">
        <v>591</v>
      </c>
      <c r="E8" s="3" t="s">
        <v>579</v>
      </c>
      <c r="F8" s="3" t="s">
        <v>580</v>
      </c>
      <c r="G8" s="3" t="s">
        <v>580</v>
      </c>
      <c r="H8" s="3" t="s">
        <v>581</v>
      </c>
      <c r="I8" s="3" t="s">
        <v>582</v>
      </c>
      <c r="J8" s="3" t="s">
        <v>83</v>
      </c>
      <c r="K8" s="3" t="s">
        <v>592</v>
      </c>
    </row>
    <row r="9" spans="1:11">
      <c r="A9" s="3" t="s">
        <v>209</v>
      </c>
      <c r="B9" s="3" t="s">
        <v>210</v>
      </c>
      <c r="C9" s="3" t="s">
        <v>53</v>
      </c>
      <c r="D9" s="3" t="s">
        <v>593</v>
      </c>
      <c r="E9" s="3" t="s">
        <v>594</v>
      </c>
      <c r="F9" s="3" t="s">
        <v>581</v>
      </c>
      <c r="G9" s="3" t="s">
        <v>595</v>
      </c>
      <c r="H9" s="3" t="s">
        <v>581</v>
      </c>
      <c r="I9" s="3" t="s">
        <v>581</v>
      </c>
      <c r="J9" s="3" t="s">
        <v>596</v>
      </c>
      <c r="K9" s="3" t="s">
        <v>589</v>
      </c>
    </row>
    <row r="10" spans="1:11">
      <c r="A10" s="3" t="s">
        <v>597</v>
      </c>
      <c r="B10" s="3" t="s">
        <v>598</v>
      </c>
      <c r="C10" s="3" t="s">
        <v>43</v>
      </c>
      <c r="D10" s="3" t="s">
        <v>599</v>
      </c>
      <c r="E10" s="3" t="s">
        <v>600</v>
      </c>
      <c r="F10" s="3" t="s">
        <v>581</v>
      </c>
      <c r="G10" s="3" t="s">
        <v>581</v>
      </c>
      <c r="H10" s="3" t="s">
        <v>581</v>
      </c>
      <c r="I10" s="3" t="s">
        <v>581</v>
      </c>
      <c r="J10" s="3" t="s">
        <v>92</v>
      </c>
      <c r="K10" s="3" t="s">
        <v>601</v>
      </c>
    </row>
    <row r="11" spans="1:11">
      <c r="A11" s="3" t="s">
        <v>89</v>
      </c>
      <c r="B11" s="3" t="s">
        <v>602</v>
      </c>
      <c r="C11" s="3" t="s">
        <v>43</v>
      </c>
      <c r="D11" s="3" t="s">
        <v>603</v>
      </c>
      <c r="E11" s="3" t="s">
        <v>600</v>
      </c>
      <c r="F11" s="3" t="s">
        <v>581</v>
      </c>
      <c r="G11" s="3" t="s">
        <v>581</v>
      </c>
      <c r="H11" s="3" t="s">
        <v>581</v>
      </c>
      <c r="I11" s="3" t="s">
        <v>604</v>
      </c>
      <c r="J11" s="3" t="s">
        <v>92</v>
      </c>
      <c r="K11" s="3" t="s">
        <v>605</v>
      </c>
    </row>
    <row r="12" spans="1:11">
      <c r="A12" s="3" t="s">
        <v>606</v>
      </c>
      <c r="B12" s="3" t="s">
        <v>607</v>
      </c>
      <c r="C12" s="3" t="s">
        <v>43</v>
      </c>
      <c r="D12" s="3" t="s">
        <v>608</v>
      </c>
      <c r="E12" s="3" t="s">
        <v>594</v>
      </c>
      <c r="F12" s="3" t="s">
        <v>581</v>
      </c>
      <c r="G12" s="3" t="s">
        <v>595</v>
      </c>
      <c r="H12" s="3" t="s">
        <v>581</v>
      </c>
      <c r="I12" s="3" t="s">
        <v>581</v>
      </c>
      <c r="J12" s="3" t="s">
        <v>596</v>
      </c>
      <c r="K12" s="3" t="s">
        <v>605</v>
      </c>
    </row>
    <row r="13" spans="1:11">
      <c r="A13" s="3" t="s">
        <v>98</v>
      </c>
      <c r="B13" s="3" t="s">
        <v>609</v>
      </c>
      <c r="C13" s="3" t="s">
        <v>43</v>
      </c>
      <c r="D13" s="3" t="s">
        <v>610</v>
      </c>
      <c r="E13" s="3" t="s">
        <v>600</v>
      </c>
      <c r="F13" s="3" t="s">
        <v>581</v>
      </c>
      <c r="G13" s="3" t="s">
        <v>581</v>
      </c>
      <c r="H13" s="3" t="s">
        <v>581</v>
      </c>
      <c r="I13" s="3" t="s">
        <v>604</v>
      </c>
      <c r="J13" s="3" t="s">
        <v>92</v>
      </c>
      <c r="K13" s="3" t="s">
        <v>611</v>
      </c>
    </row>
    <row r="14" spans="1:11" ht="27.6">
      <c r="A14" s="3" t="s">
        <v>612</v>
      </c>
      <c r="B14" s="3" t="s">
        <v>613</v>
      </c>
      <c r="C14" s="3" t="s">
        <v>43</v>
      </c>
      <c r="D14" s="3" t="s">
        <v>614</v>
      </c>
      <c r="E14" s="3" t="s">
        <v>615</v>
      </c>
      <c r="F14" s="3" t="s">
        <v>581</v>
      </c>
      <c r="G14" s="3" t="s">
        <v>581</v>
      </c>
      <c r="H14" s="3" t="s">
        <v>581</v>
      </c>
      <c r="I14" s="3" t="s">
        <v>581</v>
      </c>
      <c r="J14" s="3" t="s">
        <v>92</v>
      </c>
      <c r="K14" s="3" t="s">
        <v>616</v>
      </c>
    </row>
    <row r="15" spans="1:11" ht="27.6">
      <c r="A15" s="3" t="s">
        <v>617</v>
      </c>
      <c r="B15" s="3" t="s">
        <v>618</v>
      </c>
      <c r="C15" s="3" t="s">
        <v>54</v>
      </c>
      <c r="D15" s="3" t="s">
        <v>619</v>
      </c>
      <c r="E15" s="3" t="s">
        <v>600</v>
      </c>
      <c r="F15" s="3" t="s">
        <v>581</v>
      </c>
      <c r="G15" s="3" t="s">
        <v>581</v>
      </c>
      <c r="H15" s="3" t="s">
        <v>581</v>
      </c>
      <c r="I15" s="3" t="s">
        <v>581</v>
      </c>
      <c r="J15" s="3" t="s">
        <v>92</v>
      </c>
      <c r="K15" s="3" t="s">
        <v>620</v>
      </c>
    </row>
    <row r="16" spans="1:11">
      <c r="A16" s="3" t="s">
        <v>113</v>
      </c>
      <c r="B16" s="3" t="s">
        <v>621</v>
      </c>
      <c r="C16" s="3" t="s">
        <v>54</v>
      </c>
      <c r="D16" s="3" t="s">
        <v>622</v>
      </c>
      <c r="E16" s="3" t="s">
        <v>579</v>
      </c>
      <c r="F16" s="3" t="s">
        <v>581</v>
      </c>
      <c r="G16" s="3" t="s">
        <v>595</v>
      </c>
      <c r="H16" s="3" t="s">
        <v>581</v>
      </c>
      <c r="I16" s="3" t="s">
        <v>581</v>
      </c>
      <c r="J16" s="3" t="s">
        <v>83</v>
      </c>
      <c r="K16" s="3" t="s">
        <v>623</v>
      </c>
    </row>
    <row r="17" spans="1:11">
      <c r="A17" s="3" t="s">
        <v>624</v>
      </c>
      <c r="B17" s="3" t="s">
        <v>625</v>
      </c>
      <c r="C17" s="3" t="s">
        <v>51</v>
      </c>
      <c r="D17" s="3" t="s">
        <v>626</v>
      </c>
      <c r="E17" s="3" t="s">
        <v>579</v>
      </c>
      <c r="F17" s="3" t="s">
        <v>580</v>
      </c>
      <c r="G17" s="3" t="s">
        <v>580</v>
      </c>
      <c r="H17" s="3" t="s">
        <v>581</v>
      </c>
      <c r="I17" s="3" t="s">
        <v>582</v>
      </c>
      <c r="J17" s="3" t="s">
        <v>83</v>
      </c>
      <c r="K17" s="3" t="s">
        <v>82</v>
      </c>
    </row>
    <row r="18" spans="1:11">
      <c r="A18" s="3" t="s">
        <v>627</v>
      </c>
      <c r="B18" s="3" t="s">
        <v>628</v>
      </c>
      <c r="C18" s="3" t="s">
        <v>51</v>
      </c>
      <c r="D18" s="3" t="s">
        <v>629</v>
      </c>
      <c r="E18" s="3" t="s">
        <v>579</v>
      </c>
      <c r="F18" s="3" t="s">
        <v>581</v>
      </c>
      <c r="G18" s="3" t="s">
        <v>595</v>
      </c>
      <c r="H18" s="3" t="s">
        <v>581</v>
      </c>
      <c r="I18" s="3" t="s">
        <v>582</v>
      </c>
      <c r="J18" s="3" t="s">
        <v>83</v>
      </c>
      <c r="K18" s="3" t="s">
        <v>630</v>
      </c>
    </row>
    <row r="19" spans="1:11">
      <c r="A19" s="3" t="s">
        <v>631</v>
      </c>
      <c r="B19" s="3" t="s">
        <v>632</v>
      </c>
      <c r="C19" s="3" t="s">
        <v>45</v>
      </c>
      <c r="D19" s="3" t="s">
        <v>633</v>
      </c>
      <c r="E19" s="3" t="s">
        <v>615</v>
      </c>
      <c r="F19" s="3" t="s">
        <v>581</v>
      </c>
      <c r="G19" s="3" t="s">
        <v>581</v>
      </c>
      <c r="H19" s="3" t="s">
        <v>581</v>
      </c>
      <c r="I19" s="3" t="s">
        <v>604</v>
      </c>
      <c r="J19" s="3" t="s">
        <v>92</v>
      </c>
      <c r="K19" s="3" t="s">
        <v>634</v>
      </c>
    </row>
    <row r="20" spans="1:11">
      <c r="A20" s="3" t="s">
        <v>635</v>
      </c>
      <c r="B20" s="3" t="s">
        <v>636</v>
      </c>
      <c r="C20" s="3" t="s">
        <v>56</v>
      </c>
      <c r="D20" s="3" t="s">
        <v>637</v>
      </c>
      <c r="E20" s="3" t="s">
        <v>594</v>
      </c>
      <c r="F20" s="3" t="s">
        <v>581</v>
      </c>
      <c r="G20" s="3" t="s">
        <v>595</v>
      </c>
      <c r="H20" s="3" t="s">
        <v>581</v>
      </c>
      <c r="I20" s="3" t="s">
        <v>581</v>
      </c>
      <c r="J20" s="3" t="s">
        <v>596</v>
      </c>
      <c r="K20" s="3" t="s">
        <v>638</v>
      </c>
    </row>
    <row r="21" spans="1:11">
      <c r="A21" s="3" t="s">
        <v>639</v>
      </c>
      <c r="B21" s="3" t="s">
        <v>640</v>
      </c>
      <c r="C21" s="3" t="s">
        <v>56</v>
      </c>
      <c r="D21" s="3" t="s">
        <v>641</v>
      </c>
      <c r="E21" s="3" t="s">
        <v>594</v>
      </c>
      <c r="F21" s="3" t="s">
        <v>581</v>
      </c>
      <c r="G21" s="3" t="s">
        <v>595</v>
      </c>
      <c r="H21" s="3" t="s">
        <v>581</v>
      </c>
      <c r="I21" s="3" t="s">
        <v>581</v>
      </c>
      <c r="J21" s="3" t="s">
        <v>596</v>
      </c>
      <c r="K21" s="3" t="s">
        <v>642</v>
      </c>
    </row>
    <row r="22" spans="1:11">
      <c r="A22" s="3" t="s">
        <v>643</v>
      </c>
      <c r="B22" s="3" t="s">
        <v>644</v>
      </c>
      <c r="C22" s="3" t="s">
        <v>53</v>
      </c>
      <c r="D22" s="3" t="s">
        <v>645</v>
      </c>
      <c r="E22" s="3" t="s">
        <v>594</v>
      </c>
      <c r="F22" s="3" t="s">
        <v>581</v>
      </c>
      <c r="G22" s="3" t="s">
        <v>595</v>
      </c>
      <c r="H22" s="3" t="s">
        <v>581</v>
      </c>
      <c r="I22" s="3" t="s">
        <v>581</v>
      </c>
      <c r="J22" s="3" t="s">
        <v>596</v>
      </c>
      <c r="K22" s="3" t="s">
        <v>82</v>
      </c>
    </row>
    <row r="23" spans="1:11">
      <c r="A23" s="3" t="s">
        <v>646</v>
      </c>
      <c r="B23" s="3" t="s">
        <v>647</v>
      </c>
      <c r="C23" s="3" t="s">
        <v>53</v>
      </c>
      <c r="D23" s="3" t="s">
        <v>648</v>
      </c>
      <c r="E23" s="3" t="s">
        <v>594</v>
      </c>
      <c r="F23" s="3" t="s">
        <v>581</v>
      </c>
      <c r="G23" s="3" t="s">
        <v>595</v>
      </c>
      <c r="H23" s="3" t="s">
        <v>581</v>
      </c>
      <c r="I23" s="3" t="s">
        <v>581</v>
      </c>
      <c r="J23" s="3" t="s">
        <v>596</v>
      </c>
      <c r="K23" s="3" t="s">
        <v>82</v>
      </c>
    </row>
    <row r="24" spans="1:11">
      <c r="A24" s="3" t="s">
        <v>649</v>
      </c>
      <c r="B24" s="3" t="s">
        <v>650</v>
      </c>
      <c r="C24" s="3" t="s">
        <v>45</v>
      </c>
      <c r="D24" s="3" t="s">
        <v>651</v>
      </c>
      <c r="E24" s="3" t="s">
        <v>594</v>
      </c>
      <c r="F24" s="3" t="s">
        <v>581</v>
      </c>
      <c r="G24" s="3" t="s">
        <v>595</v>
      </c>
      <c r="H24" s="3" t="s">
        <v>581</v>
      </c>
      <c r="I24" s="3" t="s">
        <v>582</v>
      </c>
      <c r="J24" s="3" t="s">
        <v>596</v>
      </c>
      <c r="K24" s="3" t="s">
        <v>652</v>
      </c>
    </row>
    <row r="25" spans="1:11">
      <c r="A25" s="3" t="s">
        <v>653</v>
      </c>
      <c r="B25" s="3" t="s">
        <v>654</v>
      </c>
      <c r="C25" s="3" t="s">
        <v>45</v>
      </c>
      <c r="D25" s="3" t="s">
        <v>655</v>
      </c>
      <c r="E25" s="3" t="s">
        <v>594</v>
      </c>
      <c r="F25" s="3" t="s">
        <v>581</v>
      </c>
      <c r="G25" s="3" t="s">
        <v>595</v>
      </c>
      <c r="H25" s="3" t="s">
        <v>581</v>
      </c>
      <c r="I25" s="3" t="s">
        <v>582</v>
      </c>
      <c r="J25" s="3" t="s">
        <v>596</v>
      </c>
      <c r="K25" s="3" t="s">
        <v>652</v>
      </c>
    </row>
    <row r="26" spans="1:11">
      <c r="A26" s="3" t="s">
        <v>656</v>
      </c>
      <c r="B26" s="3" t="s">
        <v>657</v>
      </c>
      <c r="C26" s="3" t="s">
        <v>45</v>
      </c>
      <c r="D26" s="3" t="s">
        <v>658</v>
      </c>
      <c r="E26" s="3" t="s">
        <v>594</v>
      </c>
      <c r="F26" s="3" t="s">
        <v>581</v>
      </c>
      <c r="G26" s="3" t="s">
        <v>595</v>
      </c>
      <c r="H26" s="3" t="s">
        <v>581</v>
      </c>
      <c r="I26" s="3" t="s">
        <v>582</v>
      </c>
      <c r="J26" s="3" t="s">
        <v>596</v>
      </c>
      <c r="K26" s="3" t="s">
        <v>652</v>
      </c>
    </row>
    <row r="27" spans="1:11" ht="27.6">
      <c r="A27" s="3" t="s">
        <v>659</v>
      </c>
      <c r="B27" s="3" t="s">
        <v>660</v>
      </c>
      <c r="C27" s="3" t="s">
        <v>56</v>
      </c>
      <c r="D27" s="3" t="s">
        <v>661</v>
      </c>
      <c r="E27" s="3" t="s">
        <v>594</v>
      </c>
      <c r="F27" s="3" t="s">
        <v>581</v>
      </c>
      <c r="G27" s="3" t="s">
        <v>595</v>
      </c>
      <c r="H27" s="3" t="s">
        <v>581</v>
      </c>
      <c r="I27" s="3" t="s">
        <v>581</v>
      </c>
      <c r="J27" s="3" t="s">
        <v>596</v>
      </c>
      <c r="K27" s="3" t="s">
        <v>662</v>
      </c>
    </row>
    <row r="28" spans="1:11">
      <c r="A28" s="3" t="s">
        <v>663</v>
      </c>
      <c r="B28" s="3" t="s">
        <v>664</v>
      </c>
      <c r="C28" s="3" t="s">
        <v>52</v>
      </c>
      <c r="D28" s="3" t="s">
        <v>665</v>
      </c>
      <c r="E28" s="3" t="s">
        <v>615</v>
      </c>
      <c r="F28" s="3" t="s">
        <v>581</v>
      </c>
      <c r="G28" s="3" t="s">
        <v>581</v>
      </c>
      <c r="H28" s="3" t="s">
        <v>581</v>
      </c>
      <c r="I28" s="3" t="s">
        <v>604</v>
      </c>
      <c r="J28" s="3" t="s">
        <v>92</v>
      </c>
      <c r="K28" s="3" t="s">
        <v>627</v>
      </c>
    </row>
    <row r="29" spans="1:11">
      <c r="A29" s="3" t="s">
        <v>666</v>
      </c>
      <c r="B29" s="3" t="s">
        <v>667</v>
      </c>
      <c r="C29" s="3" t="s">
        <v>55</v>
      </c>
      <c r="D29" s="3" t="s">
        <v>668</v>
      </c>
      <c r="E29" s="3" t="s">
        <v>600</v>
      </c>
      <c r="F29" s="3" t="s">
        <v>581</v>
      </c>
      <c r="G29" s="3" t="s">
        <v>581</v>
      </c>
      <c r="H29" s="3" t="s">
        <v>581</v>
      </c>
      <c r="I29" s="3" t="s">
        <v>581</v>
      </c>
      <c r="J29" s="3" t="s">
        <v>92</v>
      </c>
      <c r="K29" s="3" t="s">
        <v>669</v>
      </c>
    </row>
    <row r="30" spans="1:11">
      <c r="A30" s="3" t="s">
        <v>670</v>
      </c>
      <c r="B30" s="3" t="s">
        <v>671</v>
      </c>
      <c r="C30" s="3" t="s">
        <v>55</v>
      </c>
      <c r="D30" s="3" t="s">
        <v>672</v>
      </c>
      <c r="E30" s="3" t="s">
        <v>615</v>
      </c>
      <c r="F30" s="3" t="s">
        <v>581</v>
      </c>
      <c r="G30" s="3" t="s">
        <v>581</v>
      </c>
      <c r="H30" s="3" t="s">
        <v>581</v>
      </c>
      <c r="I30" s="3" t="s">
        <v>604</v>
      </c>
      <c r="J30" s="3" t="s">
        <v>92</v>
      </c>
      <c r="K30" s="3" t="s">
        <v>673</v>
      </c>
    </row>
    <row r="31" spans="1:11">
      <c r="A31" s="3" t="s">
        <v>674</v>
      </c>
      <c r="B31" s="3" t="s">
        <v>675</v>
      </c>
      <c r="C31" s="3" t="s">
        <v>52</v>
      </c>
      <c r="D31" s="3" t="s">
        <v>676</v>
      </c>
      <c r="E31" s="3" t="s">
        <v>615</v>
      </c>
      <c r="F31" s="3" t="s">
        <v>581</v>
      </c>
      <c r="G31" s="3" t="s">
        <v>581</v>
      </c>
      <c r="H31" s="3" t="s">
        <v>581</v>
      </c>
      <c r="I31" s="3" t="s">
        <v>604</v>
      </c>
      <c r="J31" s="3" t="s">
        <v>92</v>
      </c>
      <c r="K31" s="3" t="s">
        <v>652</v>
      </c>
    </row>
    <row r="32" spans="1:11" ht="27.6">
      <c r="A32" s="3" t="s">
        <v>677</v>
      </c>
      <c r="B32" s="3" t="s">
        <v>678</v>
      </c>
      <c r="C32" s="3" t="s">
        <v>52</v>
      </c>
      <c r="D32" s="3" t="s">
        <v>679</v>
      </c>
      <c r="E32" s="3" t="s">
        <v>615</v>
      </c>
      <c r="F32" s="3" t="s">
        <v>581</v>
      </c>
      <c r="G32" s="3" t="s">
        <v>581</v>
      </c>
      <c r="H32" s="3" t="s">
        <v>581</v>
      </c>
      <c r="I32" s="3" t="s">
        <v>604</v>
      </c>
      <c r="J32" s="3" t="s">
        <v>92</v>
      </c>
      <c r="K32" s="3" t="s">
        <v>652</v>
      </c>
    </row>
    <row r="33" spans="1:11">
      <c r="A33" s="3" t="s">
        <v>680</v>
      </c>
      <c r="B33" s="3" t="s">
        <v>681</v>
      </c>
      <c r="C33" s="3" t="s">
        <v>47</v>
      </c>
      <c r="D33" s="3" t="s">
        <v>682</v>
      </c>
      <c r="E33" s="3" t="s">
        <v>683</v>
      </c>
      <c r="F33" s="3" t="s">
        <v>581</v>
      </c>
      <c r="G33" s="3" t="s">
        <v>581</v>
      </c>
      <c r="H33" s="3" t="s">
        <v>581</v>
      </c>
      <c r="I33" s="3" t="s">
        <v>684</v>
      </c>
      <c r="J33" s="3" t="s">
        <v>92</v>
      </c>
      <c r="K33" s="3" t="s">
        <v>685</v>
      </c>
    </row>
    <row r="34" spans="1:11">
      <c r="A34" s="3" t="s">
        <v>686</v>
      </c>
      <c r="B34" s="3" t="s">
        <v>687</v>
      </c>
      <c r="C34" s="3" t="s">
        <v>47</v>
      </c>
      <c r="D34" s="3" t="s">
        <v>688</v>
      </c>
      <c r="E34" s="3" t="s">
        <v>579</v>
      </c>
      <c r="F34" s="3" t="s">
        <v>580</v>
      </c>
      <c r="G34" s="3" t="s">
        <v>580</v>
      </c>
      <c r="H34" s="3" t="s">
        <v>581</v>
      </c>
      <c r="I34" s="3" t="s">
        <v>582</v>
      </c>
      <c r="J34" s="3" t="s">
        <v>83</v>
      </c>
      <c r="K34" s="3" t="s">
        <v>689</v>
      </c>
    </row>
    <row r="35" spans="1:11">
      <c r="A35" s="3" t="s">
        <v>690</v>
      </c>
      <c r="B35" s="3" t="s">
        <v>691</v>
      </c>
      <c r="C35" s="3" t="s">
        <v>47</v>
      </c>
      <c r="D35" s="3" t="s">
        <v>692</v>
      </c>
      <c r="E35" s="3" t="s">
        <v>600</v>
      </c>
      <c r="F35" s="3" t="s">
        <v>581</v>
      </c>
      <c r="G35" s="3" t="s">
        <v>581</v>
      </c>
      <c r="H35" s="3" t="s">
        <v>581</v>
      </c>
      <c r="I35" s="3" t="s">
        <v>581</v>
      </c>
      <c r="J35" s="3" t="s">
        <v>92</v>
      </c>
      <c r="K35" s="3" t="s">
        <v>693</v>
      </c>
    </row>
    <row r="36" spans="1:11">
      <c r="A36" s="3" t="s">
        <v>694</v>
      </c>
      <c r="B36" s="3" t="s">
        <v>695</v>
      </c>
      <c r="C36" s="3" t="s">
        <v>49</v>
      </c>
      <c r="D36" s="3" t="s">
        <v>696</v>
      </c>
      <c r="E36" s="3" t="s">
        <v>579</v>
      </c>
      <c r="F36" s="3" t="s">
        <v>580</v>
      </c>
      <c r="G36" s="3" t="s">
        <v>595</v>
      </c>
      <c r="H36" s="3" t="s">
        <v>581</v>
      </c>
      <c r="I36" s="3" t="s">
        <v>582</v>
      </c>
      <c r="J36" s="3" t="s">
        <v>83</v>
      </c>
      <c r="K36" s="3" t="s">
        <v>697</v>
      </c>
    </row>
  </sheetData>
  <mergeCells count="2">
    <mergeCell ref="A1:K1"/>
    <mergeCell ref="A2:K2"/>
  </mergeCells>
  <conditionalFormatting sqref="E5:E36">
    <cfRule type="expression" dxfId="7" priority="1">
      <formula>E5="critical"</formula>
    </cfRule>
    <cfRule type="expression" dxfId="6" priority="2">
      <formula>E5="high"</formula>
    </cfRule>
    <cfRule type="expression" dxfId="5" priority="3">
      <formula>E5="medium"</formula>
    </cfRule>
    <cfRule type="expression" dxfId="4" priority="4">
      <formula>E5="low"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0000000}">
          <x14:formula1>
            <xm:f>Lists!$H$5:$H$9</xm:f>
          </x14:formula1>
          <xm:sqref>E5:E36</xm:sqref>
        </x14:dataValidation>
        <x14:dataValidation type="list" xr:uid="{00000000-0002-0000-0400-000001000000}">
          <x14:formula1>
            <xm:f>Lists!$I$5:$I$9</xm:f>
          </x14:formula1>
          <xm:sqref>J5:J36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0"/>
  <sheetViews>
    <sheetView workbookViewId="0">
      <selection sqref="A1:L1"/>
    </sheetView>
  </sheetViews>
  <sheetFormatPr defaultRowHeight="13.8"/>
  <cols>
    <col min="1" max="1" width="24" customWidth="1"/>
    <col min="2" max="2" width="2" customWidth="1"/>
    <col min="3" max="3" width="24" customWidth="1"/>
    <col min="4" max="4" width="2" customWidth="1"/>
    <col min="5" max="5" width="24" customWidth="1"/>
    <col min="6" max="6" width="2" customWidth="1"/>
    <col min="7" max="7" width="24" customWidth="1"/>
    <col min="8" max="8" width="2" customWidth="1"/>
    <col min="9" max="9" width="24" customWidth="1"/>
    <col min="10" max="10" width="2" customWidth="1"/>
    <col min="11" max="11" width="24" customWidth="1"/>
    <col min="12" max="12" width="2" customWidth="1"/>
  </cols>
  <sheetData>
    <row r="1" spans="1:12" ht="22.35" customHeight="1">
      <c r="A1" s="21" t="s">
        <v>698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2.35" customHeight="1">
      <c r="A2" s="23" t="s">
        <v>699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2">
      <c r="A4" s="14" t="s">
        <v>700</v>
      </c>
      <c r="C4" s="14" t="s">
        <v>701</v>
      </c>
      <c r="E4" s="14" t="s">
        <v>702</v>
      </c>
      <c r="G4" s="14" t="s">
        <v>703</v>
      </c>
      <c r="I4" s="14" t="s">
        <v>704</v>
      </c>
      <c r="K4" s="14" t="s">
        <v>705</v>
      </c>
    </row>
    <row r="5" spans="1:12">
      <c r="A5" s="15" t="s">
        <v>706</v>
      </c>
      <c r="C5" s="15" t="s">
        <v>576</v>
      </c>
      <c r="E5" s="15" t="s">
        <v>80</v>
      </c>
      <c r="G5" s="15" t="s">
        <v>635</v>
      </c>
      <c r="I5" s="15" t="s">
        <v>597</v>
      </c>
      <c r="K5" s="15" t="s">
        <v>707</v>
      </c>
    </row>
    <row r="6" spans="1:12">
      <c r="A6" s="15" t="s">
        <v>708</v>
      </c>
      <c r="C6" s="15" t="s">
        <v>584</v>
      </c>
      <c r="E6" s="15" t="s">
        <v>105</v>
      </c>
      <c r="G6" s="15" t="s">
        <v>639</v>
      </c>
      <c r="I6" s="15" t="s">
        <v>89</v>
      </c>
      <c r="K6" s="15" t="s">
        <v>690</v>
      </c>
    </row>
    <row r="7" spans="1:12">
      <c r="A7" s="15" t="s">
        <v>709</v>
      </c>
      <c r="C7" s="15" t="s">
        <v>624</v>
      </c>
      <c r="E7" s="15" t="s">
        <v>209</v>
      </c>
      <c r="G7" s="15" t="s">
        <v>659</v>
      </c>
      <c r="I7" s="15" t="s">
        <v>606</v>
      </c>
      <c r="K7" s="15" t="s">
        <v>686</v>
      </c>
    </row>
    <row r="8" spans="1:12">
      <c r="A8" s="15" t="s">
        <v>710</v>
      </c>
      <c r="C8" s="15" t="s">
        <v>627</v>
      </c>
      <c r="E8" s="15" t="s">
        <v>643</v>
      </c>
      <c r="G8" s="15" t="s">
        <v>711</v>
      </c>
      <c r="I8" s="15" t="s">
        <v>98</v>
      </c>
      <c r="K8" s="15" t="s">
        <v>663</v>
      </c>
    </row>
    <row r="9" spans="1:12">
      <c r="A9" s="15" t="s">
        <v>712</v>
      </c>
      <c r="C9" s="15" t="s">
        <v>694</v>
      </c>
      <c r="E9" s="15" t="s">
        <v>646</v>
      </c>
      <c r="G9" s="15" t="s">
        <v>71</v>
      </c>
      <c r="I9" s="15" t="s">
        <v>612</v>
      </c>
      <c r="K9" s="15" t="s">
        <v>674</v>
      </c>
    </row>
    <row r="10" spans="1:12">
      <c r="I10" s="15" t="s">
        <v>617</v>
      </c>
      <c r="K10" s="15" t="s">
        <v>677</v>
      </c>
    </row>
    <row r="11" spans="1:12">
      <c r="I11" s="15" t="s">
        <v>113</v>
      </c>
      <c r="K11" s="15" t="s">
        <v>680</v>
      </c>
    </row>
    <row r="12" spans="1:12">
      <c r="I12" s="15" t="s">
        <v>666</v>
      </c>
      <c r="K12" s="15" t="s">
        <v>694</v>
      </c>
    </row>
    <row r="13" spans="1:12">
      <c r="I13" s="15" t="s">
        <v>670</v>
      </c>
    </row>
    <row r="20" spans="1:9" ht="179.4">
      <c r="A20" s="5" t="s">
        <v>566</v>
      </c>
      <c r="B20" s="5" t="s">
        <v>102</v>
      </c>
      <c r="C20" s="5" t="s">
        <v>713</v>
      </c>
      <c r="D20" s="5" t="s">
        <v>714</v>
      </c>
      <c r="E20" s="5" t="s">
        <v>652</v>
      </c>
      <c r="F20" s="5" t="s">
        <v>715</v>
      </c>
      <c r="G20" s="5" t="s">
        <v>716</v>
      </c>
      <c r="H20" s="5" t="s">
        <v>574</v>
      </c>
      <c r="I20" s="5" t="s">
        <v>717</v>
      </c>
    </row>
    <row r="21" spans="1:9" ht="165.6">
      <c r="A21" s="3" t="s">
        <v>576</v>
      </c>
      <c r="B21" s="3" t="s">
        <v>577</v>
      </c>
      <c r="C21" s="3" t="s">
        <v>51</v>
      </c>
      <c r="D21" s="3" t="s">
        <v>579</v>
      </c>
      <c r="E21" s="3" t="s">
        <v>580</v>
      </c>
      <c r="F21" s="3" t="s">
        <v>580</v>
      </c>
      <c r="G21" s="3" t="s">
        <v>582</v>
      </c>
      <c r="H21" s="3" t="s">
        <v>83</v>
      </c>
      <c r="I21" s="3" t="s">
        <v>583</v>
      </c>
    </row>
    <row r="22" spans="1:9" ht="220.8">
      <c r="A22" s="3" t="s">
        <v>584</v>
      </c>
      <c r="B22" s="3" t="s">
        <v>585</v>
      </c>
      <c r="C22" s="3" t="s">
        <v>51</v>
      </c>
      <c r="D22" s="3" t="s">
        <v>579</v>
      </c>
      <c r="E22" s="3" t="s">
        <v>580</v>
      </c>
      <c r="F22" s="3" t="s">
        <v>580</v>
      </c>
      <c r="G22" s="3" t="s">
        <v>582</v>
      </c>
      <c r="H22" s="3" t="s">
        <v>83</v>
      </c>
      <c r="I22" s="3" t="s">
        <v>82</v>
      </c>
    </row>
    <row r="23" spans="1:9" ht="165.6">
      <c r="A23" s="3" t="s">
        <v>80</v>
      </c>
      <c r="B23" s="3" t="s">
        <v>587</v>
      </c>
      <c r="C23" s="3" t="s">
        <v>45</v>
      </c>
      <c r="D23" s="3" t="s">
        <v>579</v>
      </c>
      <c r="E23" s="3" t="s">
        <v>580</v>
      </c>
      <c r="F23" s="3" t="s">
        <v>580</v>
      </c>
      <c r="G23" s="3" t="s">
        <v>582</v>
      </c>
      <c r="H23" s="3" t="s">
        <v>83</v>
      </c>
      <c r="I23" s="3" t="s">
        <v>589</v>
      </c>
    </row>
    <row r="24" spans="1:9" ht="193.2">
      <c r="A24" s="3" t="s">
        <v>105</v>
      </c>
      <c r="B24" s="3" t="s">
        <v>590</v>
      </c>
      <c r="C24" s="3" t="s">
        <v>45</v>
      </c>
      <c r="D24" s="3" t="s">
        <v>579</v>
      </c>
      <c r="E24" s="3" t="s">
        <v>580</v>
      </c>
      <c r="F24" s="3" t="s">
        <v>580</v>
      </c>
      <c r="G24" s="3" t="s">
        <v>582</v>
      </c>
      <c r="H24" s="3" t="s">
        <v>83</v>
      </c>
      <c r="I24" s="3" t="s">
        <v>592</v>
      </c>
    </row>
    <row r="25" spans="1:9" ht="165.6">
      <c r="A25" s="3" t="s">
        <v>209</v>
      </c>
      <c r="B25" s="3" t="s">
        <v>210</v>
      </c>
      <c r="C25" s="3" t="s">
        <v>53</v>
      </c>
      <c r="D25" s="3" t="s">
        <v>594</v>
      </c>
      <c r="E25" s="3" t="s">
        <v>581</v>
      </c>
      <c r="F25" s="3" t="s">
        <v>595</v>
      </c>
      <c r="G25" s="3" t="s">
        <v>581</v>
      </c>
      <c r="H25" s="3" t="s">
        <v>596</v>
      </c>
      <c r="I25" s="3" t="s">
        <v>589</v>
      </c>
    </row>
    <row r="26" spans="1:9" ht="220.8">
      <c r="A26" s="3" t="s">
        <v>597</v>
      </c>
      <c r="B26" s="3" t="s">
        <v>598</v>
      </c>
      <c r="C26" s="3" t="s">
        <v>43</v>
      </c>
      <c r="D26" s="3" t="s">
        <v>600</v>
      </c>
      <c r="E26" s="3" t="s">
        <v>581</v>
      </c>
      <c r="F26" s="3" t="s">
        <v>581</v>
      </c>
      <c r="G26" s="3" t="s">
        <v>581</v>
      </c>
      <c r="H26" s="3" t="s">
        <v>92</v>
      </c>
      <c r="I26" s="3" t="s">
        <v>601</v>
      </c>
    </row>
    <row r="27" spans="1:9" ht="220.8">
      <c r="A27" s="3" t="s">
        <v>89</v>
      </c>
      <c r="B27" s="3" t="s">
        <v>602</v>
      </c>
      <c r="C27" s="3" t="s">
        <v>43</v>
      </c>
      <c r="D27" s="3" t="s">
        <v>600</v>
      </c>
      <c r="E27" s="3" t="s">
        <v>581</v>
      </c>
      <c r="F27" s="3" t="s">
        <v>581</v>
      </c>
      <c r="G27" s="3" t="s">
        <v>604</v>
      </c>
      <c r="H27" s="3" t="s">
        <v>92</v>
      </c>
      <c r="I27" s="3" t="s">
        <v>605</v>
      </c>
    </row>
    <row r="28" spans="1:9" ht="165.6">
      <c r="A28" s="3" t="s">
        <v>606</v>
      </c>
      <c r="B28" s="3" t="s">
        <v>607</v>
      </c>
      <c r="C28" s="3" t="s">
        <v>43</v>
      </c>
      <c r="D28" s="3" t="s">
        <v>594</v>
      </c>
      <c r="E28" s="3" t="s">
        <v>581</v>
      </c>
      <c r="F28" s="3" t="s">
        <v>595</v>
      </c>
      <c r="G28" s="3" t="s">
        <v>581</v>
      </c>
      <c r="H28" s="3" t="s">
        <v>596</v>
      </c>
      <c r="I28" s="3" t="s">
        <v>605</v>
      </c>
    </row>
    <row r="29" spans="1:9" ht="220.8">
      <c r="A29" s="3" t="s">
        <v>98</v>
      </c>
      <c r="B29" s="3" t="s">
        <v>609</v>
      </c>
      <c r="C29" s="3" t="s">
        <v>43</v>
      </c>
      <c r="D29" s="3" t="s">
        <v>600</v>
      </c>
      <c r="E29" s="3" t="s">
        <v>581</v>
      </c>
      <c r="F29" s="3" t="s">
        <v>581</v>
      </c>
      <c r="G29" s="3" t="s">
        <v>604</v>
      </c>
      <c r="H29" s="3" t="s">
        <v>92</v>
      </c>
      <c r="I29" s="3" t="s">
        <v>611</v>
      </c>
    </row>
    <row r="30" spans="1:9" ht="220.8">
      <c r="A30" s="3" t="s">
        <v>612</v>
      </c>
      <c r="B30" s="3" t="s">
        <v>613</v>
      </c>
      <c r="C30" s="3" t="s">
        <v>43</v>
      </c>
      <c r="D30" s="3" t="s">
        <v>615</v>
      </c>
      <c r="E30" s="3" t="s">
        <v>581</v>
      </c>
      <c r="F30" s="3" t="s">
        <v>581</v>
      </c>
      <c r="G30" s="3" t="s">
        <v>581</v>
      </c>
      <c r="H30" s="3" t="s">
        <v>92</v>
      </c>
      <c r="I30" s="3" t="s">
        <v>616</v>
      </c>
    </row>
    <row r="31" spans="1:9" ht="220.8">
      <c r="A31" s="3" t="s">
        <v>617</v>
      </c>
      <c r="B31" s="3" t="s">
        <v>618</v>
      </c>
      <c r="C31" s="3" t="s">
        <v>54</v>
      </c>
      <c r="D31" s="3" t="s">
        <v>600</v>
      </c>
      <c r="E31" s="3" t="s">
        <v>581</v>
      </c>
      <c r="F31" s="3" t="s">
        <v>581</v>
      </c>
      <c r="G31" s="3" t="s">
        <v>581</v>
      </c>
      <c r="H31" s="3" t="s">
        <v>92</v>
      </c>
      <c r="I31" s="3" t="s">
        <v>620</v>
      </c>
    </row>
    <row r="32" spans="1:9" ht="248.4">
      <c r="A32" s="3" t="s">
        <v>113</v>
      </c>
      <c r="B32" s="3" t="s">
        <v>621</v>
      </c>
      <c r="C32" s="3" t="s">
        <v>54</v>
      </c>
      <c r="D32" s="3" t="s">
        <v>579</v>
      </c>
      <c r="E32" s="3" t="s">
        <v>581</v>
      </c>
      <c r="F32" s="3" t="s">
        <v>595</v>
      </c>
      <c r="G32" s="3" t="s">
        <v>581</v>
      </c>
      <c r="H32" s="3" t="s">
        <v>83</v>
      </c>
      <c r="I32" s="3" t="s">
        <v>623</v>
      </c>
    </row>
    <row r="33" spans="1:9" ht="165.6">
      <c r="A33" s="3" t="s">
        <v>624</v>
      </c>
      <c r="B33" s="3" t="s">
        <v>625</v>
      </c>
      <c r="C33" s="3" t="s">
        <v>51</v>
      </c>
      <c r="D33" s="3" t="s">
        <v>579</v>
      </c>
      <c r="E33" s="3" t="s">
        <v>580</v>
      </c>
      <c r="F33" s="3" t="s">
        <v>580</v>
      </c>
      <c r="G33" s="3" t="s">
        <v>582</v>
      </c>
      <c r="H33" s="3" t="s">
        <v>83</v>
      </c>
      <c r="I33" s="3" t="s">
        <v>82</v>
      </c>
    </row>
    <row r="34" spans="1:9" ht="165.6">
      <c r="A34" s="3" t="s">
        <v>627</v>
      </c>
      <c r="B34" s="3" t="s">
        <v>628</v>
      </c>
      <c r="C34" s="3" t="s">
        <v>51</v>
      </c>
      <c r="D34" s="3" t="s">
        <v>579</v>
      </c>
      <c r="E34" s="3" t="s">
        <v>581</v>
      </c>
      <c r="F34" s="3" t="s">
        <v>595</v>
      </c>
      <c r="G34" s="3" t="s">
        <v>582</v>
      </c>
      <c r="H34" s="3" t="s">
        <v>83</v>
      </c>
      <c r="I34" s="3" t="s">
        <v>630</v>
      </c>
    </row>
    <row r="35" spans="1:9" ht="220.8">
      <c r="A35" s="3" t="s">
        <v>631</v>
      </c>
      <c r="B35" s="3" t="s">
        <v>632</v>
      </c>
      <c r="C35" s="3" t="s">
        <v>45</v>
      </c>
      <c r="D35" s="3" t="s">
        <v>615</v>
      </c>
      <c r="E35" s="3" t="s">
        <v>581</v>
      </c>
      <c r="F35" s="3" t="s">
        <v>581</v>
      </c>
      <c r="G35" s="3" t="s">
        <v>604</v>
      </c>
      <c r="H35" s="3" t="s">
        <v>92</v>
      </c>
      <c r="I35" s="3" t="s">
        <v>634</v>
      </c>
    </row>
    <row r="36" spans="1:9" ht="165.6">
      <c r="A36" s="3" t="s">
        <v>635</v>
      </c>
      <c r="B36" s="3" t="s">
        <v>636</v>
      </c>
      <c r="C36" s="3" t="s">
        <v>56</v>
      </c>
      <c r="D36" s="3" t="s">
        <v>594</v>
      </c>
      <c r="E36" s="3" t="s">
        <v>581</v>
      </c>
      <c r="F36" s="3" t="s">
        <v>595</v>
      </c>
      <c r="G36" s="3" t="s">
        <v>581</v>
      </c>
      <c r="H36" s="3" t="s">
        <v>596</v>
      </c>
      <c r="I36" s="3" t="s">
        <v>638</v>
      </c>
    </row>
    <row r="37" spans="1:9" ht="193.2">
      <c r="A37" s="3" t="s">
        <v>639</v>
      </c>
      <c r="B37" s="3" t="s">
        <v>640</v>
      </c>
      <c r="C37" s="3" t="s">
        <v>56</v>
      </c>
      <c r="D37" s="3" t="s">
        <v>594</v>
      </c>
      <c r="E37" s="3" t="s">
        <v>581</v>
      </c>
      <c r="F37" s="3" t="s">
        <v>595</v>
      </c>
      <c r="G37" s="3" t="s">
        <v>581</v>
      </c>
      <c r="H37" s="3" t="s">
        <v>596</v>
      </c>
      <c r="I37" s="3" t="s">
        <v>642</v>
      </c>
    </row>
    <row r="38" spans="1:9" ht="234.6">
      <c r="A38" s="3" t="s">
        <v>643</v>
      </c>
      <c r="B38" s="3" t="s">
        <v>644</v>
      </c>
      <c r="C38" s="3" t="s">
        <v>53</v>
      </c>
      <c r="D38" s="3" t="s">
        <v>594</v>
      </c>
      <c r="E38" s="3" t="s">
        <v>581</v>
      </c>
      <c r="F38" s="3" t="s">
        <v>595</v>
      </c>
      <c r="G38" s="3" t="s">
        <v>581</v>
      </c>
      <c r="H38" s="3" t="s">
        <v>596</v>
      </c>
      <c r="I38" s="3" t="s">
        <v>82</v>
      </c>
    </row>
    <row r="39" spans="1:9" ht="234.6">
      <c r="A39" s="3" t="s">
        <v>646</v>
      </c>
      <c r="B39" s="3" t="s">
        <v>647</v>
      </c>
      <c r="C39" s="3" t="s">
        <v>53</v>
      </c>
      <c r="D39" s="3" t="s">
        <v>594</v>
      </c>
      <c r="E39" s="3" t="s">
        <v>581</v>
      </c>
      <c r="F39" s="3" t="s">
        <v>595</v>
      </c>
      <c r="G39" s="3" t="s">
        <v>581</v>
      </c>
      <c r="H39" s="3" t="s">
        <v>596</v>
      </c>
      <c r="I39" s="3" t="s">
        <v>82</v>
      </c>
    </row>
    <row r="40" spans="1:9" ht="165.6">
      <c r="A40" s="3" t="s">
        <v>649</v>
      </c>
      <c r="B40" s="3" t="s">
        <v>650</v>
      </c>
      <c r="C40" s="3" t="s">
        <v>45</v>
      </c>
      <c r="D40" s="3" t="s">
        <v>594</v>
      </c>
      <c r="E40" s="3" t="s">
        <v>581</v>
      </c>
      <c r="F40" s="3" t="s">
        <v>595</v>
      </c>
      <c r="G40" s="3" t="s">
        <v>582</v>
      </c>
      <c r="H40" s="3" t="s">
        <v>596</v>
      </c>
      <c r="I40" s="3" t="s">
        <v>652</v>
      </c>
    </row>
    <row r="41" spans="1:9" ht="165.6">
      <c r="A41" s="3" t="s">
        <v>653</v>
      </c>
      <c r="B41" s="3" t="s">
        <v>654</v>
      </c>
      <c r="C41" s="3" t="s">
        <v>45</v>
      </c>
      <c r="D41" s="3" t="s">
        <v>594</v>
      </c>
      <c r="E41" s="3" t="s">
        <v>581</v>
      </c>
      <c r="F41" s="3" t="s">
        <v>595</v>
      </c>
      <c r="G41" s="3" t="s">
        <v>582</v>
      </c>
      <c r="H41" s="3" t="s">
        <v>596</v>
      </c>
      <c r="I41" s="3" t="s">
        <v>652</v>
      </c>
    </row>
    <row r="42" spans="1:9" ht="165.6">
      <c r="A42" s="3" t="s">
        <v>656</v>
      </c>
      <c r="B42" s="3" t="s">
        <v>657</v>
      </c>
      <c r="C42" s="3" t="s">
        <v>45</v>
      </c>
      <c r="D42" s="3" t="s">
        <v>594</v>
      </c>
      <c r="E42" s="3" t="s">
        <v>581</v>
      </c>
      <c r="F42" s="3" t="s">
        <v>595</v>
      </c>
      <c r="G42" s="3" t="s">
        <v>582</v>
      </c>
      <c r="H42" s="3" t="s">
        <v>596</v>
      </c>
      <c r="I42" s="3" t="s">
        <v>652</v>
      </c>
    </row>
    <row r="43" spans="1:9" ht="165.6">
      <c r="A43" s="3" t="s">
        <v>659</v>
      </c>
      <c r="B43" s="3" t="s">
        <v>660</v>
      </c>
      <c r="C43" s="3" t="s">
        <v>56</v>
      </c>
      <c r="D43" s="3" t="s">
        <v>594</v>
      </c>
      <c r="E43" s="3" t="s">
        <v>581</v>
      </c>
      <c r="F43" s="3" t="s">
        <v>595</v>
      </c>
      <c r="G43" s="3" t="s">
        <v>581</v>
      </c>
      <c r="H43" s="3" t="s">
        <v>596</v>
      </c>
      <c r="I43" s="3" t="s">
        <v>662</v>
      </c>
    </row>
    <row r="44" spans="1:9" ht="220.8">
      <c r="A44" s="3" t="s">
        <v>663</v>
      </c>
      <c r="B44" s="3" t="s">
        <v>664</v>
      </c>
      <c r="C44" s="3" t="s">
        <v>52</v>
      </c>
      <c r="D44" s="3" t="s">
        <v>615</v>
      </c>
      <c r="E44" s="3" t="s">
        <v>581</v>
      </c>
      <c r="F44" s="3" t="s">
        <v>581</v>
      </c>
      <c r="G44" s="3" t="s">
        <v>604</v>
      </c>
      <c r="H44" s="3" t="s">
        <v>92</v>
      </c>
      <c r="I44" s="3" t="s">
        <v>627</v>
      </c>
    </row>
    <row r="45" spans="1:9" ht="220.8">
      <c r="A45" s="3" t="s">
        <v>666</v>
      </c>
      <c r="B45" s="3" t="s">
        <v>667</v>
      </c>
      <c r="C45" s="3" t="s">
        <v>55</v>
      </c>
      <c r="D45" s="3" t="s">
        <v>600</v>
      </c>
      <c r="E45" s="3" t="s">
        <v>581</v>
      </c>
      <c r="F45" s="3" t="s">
        <v>581</v>
      </c>
      <c r="G45" s="3" t="s">
        <v>581</v>
      </c>
      <c r="H45" s="3" t="s">
        <v>92</v>
      </c>
      <c r="I45" s="3" t="s">
        <v>669</v>
      </c>
    </row>
    <row r="46" spans="1:9" ht="220.8">
      <c r="A46" s="3" t="s">
        <v>670</v>
      </c>
      <c r="B46" s="3" t="s">
        <v>671</v>
      </c>
      <c r="C46" s="3" t="s">
        <v>55</v>
      </c>
      <c r="D46" s="3" t="s">
        <v>615</v>
      </c>
      <c r="E46" s="3" t="s">
        <v>581</v>
      </c>
      <c r="F46" s="3" t="s">
        <v>581</v>
      </c>
      <c r="G46" s="3" t="s">
        <v>604</v>
      </c>
      <c r="H46" s="3" t="s">
        <v>92</v>
      </c>
      <c r="I46" s="3" t="s">
        <v>673</v>
      </c>
    </row>
    <row r="47" spans="1:9" ht="220.8">
      <c r="A47" s="3" t="s">
        <v>674</v>
      </c>
      <c r="B47" s="3" t="s">
        <v>675</v>
      </c>
      <c r="C47" s="3" t="s">
        <v>52</v>
      </c>
      <c r="D47" s="3" t="s">
        <v>615</v>
      </c>
      <c r="E47" s="3" t="s">
        <v>581</v>
      </c>
      <c r="F47" s="3" t="s">
        <v>581</v>
      </c>
      <c r="G47" s="3" t="s">
        <v>604</v>
      </c>
      <c r="H47" s="3" t="s">
        <v>92</v>
      </c>
      <c r="I47" s="3" t="s">
        <v>652</v>
      </c>
    </row>
    <row r="48" spans="1:9" ht="220.8">
      <c r="A48" s="3" t="s">
        <v>677</v>
      </c>
      <c r="B48" s="3" t="s">
        <v>678</v>
      </c>
      <c r="C48" s="3" t="s">
        <v>52</v>
      </c>
      <c r="D48" s="3" t="s">
        <v>615</v>
      </c>
      <c r="E48" s="3" t="s">
        <v>581</v>
      </c>
      <c r="F48" s="3" t="s">
        <v>581</v>
      </c>
      <c r="G48" s="3" t="s">
        <v>604</v>
      </c>
      <c r="H48" s="3" t="s">
        <v>92</v>
      </c>
      <c r="I48" s="3" t="s">
        <v>652</v>
      </c>
    </row>
    <row r="49" spans="1:9" ht="220.8">
      <c r="A49" s="3" t="s">
        <v>680</v>
      </c>
      <c r="B49" s="3" t="s">
        <v>681</v>
      </c>
      <c r="C49" s="3" t="s">
        <v>47</v>
      </c>
      <c r="D49" s="3" t="s">
        <v>683</v>
      </c>
      <c r="E49" s="3" t="s">
        <v>581</v>
      </c>
      <c r="F49" s="3" t="s">
        <v>581</v>
      </c>
      <c r="G49" s="3" t="s">
        <v>684</v>
      </c>
      <c r="H49" s="3" t="s">
        <v>92</v>
      </c>
      <c r="I49" s="3" t="s">
        <v>685</v>
      </c>
    </row>
    <row r="50" spans="1:9" ht="165.6">
      <c r="A50" s="3" t="s">
        <v>686</v>
      </c>
      <c r="B50" s="3" t="s">
        <v>687</v>
      </c>
      <c r="C50" s="3" t="s">
        <v>47</v>
      </c>
      <c r="D50" s="3" t="s">
        <v>579</v>
      </c>
      <c r="E50" s="3" t="s">
        <v>580</v>
      </c>
      <c r="F50" s="3" t="s">
        <v>580</v>
      </c>
      <c r="G50" s="3" t="s">
        <v>582</v>
      </c>
      <c r="H50" s="3" t="s">
        <v>83</v>
      </c>
      <c r="I50" s="3" t="s">
        <v>689</v>
      </c>
    </row>
    <row r="51" spans="1:9" ht="220.8">
      <c r="A51" s="3" t="s">
        <v>690</v>
      </c>
      <c r="B51" s="3" t="s">
        <v>691</v>
      </c>
      <c r="C51" s="3" t="s">
        <v>47</v>
      </c>
      <c r="D51" s="3" t="s">
        <v>600</v>
      </c>
      <c r="E51" s="3" t="s">
        <v>581</v>
      </c>
      <c r="F51" s="3" t="s">
        <v>581</v>
      </c>
      <c r="G51" s="3" t="s">
        <v>581</v>
      </c>
      <c r="H51" s="3" t="s">
        <v>92</v>
      </c>
      <c r="I51" s="3" t="s">
        <v>693</v>
      </c>
    </row>
    <row r="52" spans="1:9" ht="165.6">
      <c r="A52" s="3" t="s">
        <v>694</v>
      </c>
      <c r="B52" s="3" t="s">
        <v>695</v>
      </c>
      <c r="C52" s="3" t="s">
        <v>49</v>
      </c>
      <c r="D52" s="3" t="s">
        <v>579</v>
      </c>
      <c r="E52" s="3" t="s">
        <v>580</v>
      </c>
      <c r="F52" s="3" t="s">
        <v>595</v>
      </c>
      <c r="G52" s="3" t="s">
        <v>582</v>
      </c>
      <c r="H52" s="3" t="s">
        <v>83</v>
      </c>
      <c r="I52" s="3" t="s">
        <v>697</v>
      </c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workbookViewId="0">
      <selection sqref="A1:J1"/>
    </sheetView>
  </sheetViews>
  <sheetFormatPr defaultRowHeight="13.8"/>
  <cols>
    <col min="1" max="1" width="20" customWidth="1"/>
    <col min="2" max="2" width="18" customWidth="1"/>
    <col min="3" max="3" width="28" customWidth="1"/>
    <col min="4" max="8" width="36" customWidth="1"/>
    <col min="9" max="9" width="20" customWidth="1"/>
    <col min="10" max="10" width="58" customWidth="1"/>
  </cols>
  <sheetData>
    <row r="1" spans="1:10" ht="22.35" customHeight="1">
      <c r="A1" s="21" t="s">
        <v>718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35" customHeight="1">
      <c r="A2" s="23" t="s">
        <v>719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8" t="s">
        <v>720</v>
      </c>
      <c r="B4" s="8" t="s">
        <v>566</v>
      </c>
      <c r="C4" s="8" t="s">
        <v>721</v>
      </c>
      <c r="D4" s="8" t="s">
        <v>722</v>
      </c>
      <c r="E4" s="8" t="s">
        <v>723</v>
      </c>
      <c r="F4" s="8" t="s">
        <v>724</v>
      </c>
      <c r="G4" s="8" t="s">
        <v>725</v>
      </c>
      <c r="H4" s="8" t="s">
        <v>726</v>
      </c>
      <c r="I4" s="8" t="s">
        <v>727</v>
      </c>
      <c r="J4" s="8" t="s">
        <v>73</v>
      </c>
    </row>
    <row r="5" spans="1:10" ht="27.6">
      <c r="A5" s="3" t="s">
        <v>728</v>
      </c>
      <c r="B5" s="3" t="s">
        <v>576</v>
      </c>
      <c r="C5" s="3" t="s">
        <v>729</v>
      </c>
      <c r="D5" s="3" t="s">
        <v>730</v>
      </c>
      <c r="E5" s="3" t="s">
        <v>731</v>
      </c>
      <c r="F5" s="3" t="s">
        <v>732</v>
      </c>
      <c r="G5" s="3" t="s">
        <v>733</v>
      </c>
      <c r="H5" s="3" t="s">
        <v>734</v>
      </c>
      <c r="I5" s="3" t="s">
        <v>735</v>
      </c>
      <c r="J5" s="3" t="s">
        <v>736</v>
      </c>
    </row>
    <row r="6" spans="1:10" ht="27.6">
      <c r="A6" s="3" t="s">
        <v>737</v>
      </c>
      <c r="B6" s="3" t="s">
        <v>80</v>
      </c>
      <c r="C6" s="3" t="s">
        <v>738</v>
      </c>
      <c r="D6" s="3" t="s">
        <v>739</v>
      </c>
      <c r="E6" s="3" t="s">
        <v>740</v>
      </c>
      <c r="F6" s="3" t="s">
        <v>741</v>
      </c>
      <c r="G6" s="3" t="s">
        <v>742</v>
      </c>
      <c r="H6" s="3" t="s">
        <v>743</v>
      </c>
      <c r="I6" s="3" t="s">
        <v>735</v>
      </c>
      <c r="J6" s="3" t="s">
        <v>744</v>
      </c>
    </row>
    <row r="7" spans="1:10">
      <c r="A7" s="3" t="s">
        <v>745</v>
      </c>
      <c r="B7" s="3" t="s">
        <v>209</v>
      </c>
      <c r="C7" s="3" t="s">
        <v>746</v>
      </c>
      <c r="D7" s="3" t="s">
        <v>747</v>
      </c>
      <c r="E7" s="3" t="s">
        <v>748</v>
      </c>
      <c r="F7" s="3" t="s">
        <v>749</v>
      </c>
      <c r="G7" s="3" t="s">
        <v>750</v>
      </c>
      <c r="H7" s="3" t="s">
        <v>751</v>
      </c>
      <c r="I7" s="3" t="s">
        <v>735</v>
      </c>
      <c r="J7" s="3" t="s">
        <v>752</v>
      </c>
    </row>
    <row r="8" spans="1:10" ht="27.6">
      <c r="A8" s="3" t="s">
        <v>753</v>
      </c>
      <c r="B8" s="3" t="s">
        <v>597</v>
      </c>
      <c r="C8" s="3" t="s">
        <v>598</v>
      </c>
      <c r="D8" s="3" t="s">
        <v>754</v>
      </c>
      <c r="E8" s="3" t="s">
        <v>755</v>
      </c>
      <c r="F8" s="3" t="s">
        <v>756</v>
      </c>
      <c r="G8" s="3" t="s">
        <v>757</v>
      </c>
      <c r="H8" s="3" t="s">
        <v>758</v>
      </c>
      <c r="I8" s="3" t="s">
        <v>735</v>
      </c>
      <c r="J8" s="3" t="s">
        <v>759</v>
      </c>
    </row>
    <row r="9" spans="1:10" ht="27.6">
      <c r="A9" s="3" t="s">
        <v>760</v>
      </c>
      <c r="B9" s="3" t="s">
        <v>89</v>
      </c>
      <c r="C9" s="3" t="s">
        <v>602</v>
      </c>
      <c r="D9" s="3" t="s">
        <v>761</v>
      </c>
      <c r="E9" s="3" t="s">
        <v>762</v>
      </c>
      <c r="F9" s="3" t="s">
        <v>763</v>
      </c>
      <c r="G9" s="3" t="s">
        <v>764</v>
      </c>
      <c r="H9" s="3" t="s">
        <v>765</v>
      </c>
      <c r="I9" s="3" t="s">
        <v>735</v>
      </c>
      <c r="J9" s="3" t="s">
        <v>766</v>
      </c>
    </row>
    <row r="10" spans="1:10" ht="27.6">
      <c r="A10" s="3" t="s">
        <v>767</v>
      </c>
      <c r="B10" s="3" t="s">
        <v>606</v>
      </c>
      <c r="C10" s="3" t="s">
        <v>607</v>
      </c>
      <c r="D10" s="3" t="s">
        <v>761</v>
      </c>
      <c r="E10" s="3" t="s">
        <v>768</v>
      </c>
      <c r="F10" s="3" t="s">
        <v>769</v>
      </c>
      <c r="G10" s="3" t="s">
        <v>770</v>
      </c>
      <c r="H10" s="3" t="s">
        <v>771</v>
      </c>
      <c r="I10" s="3" t="s">
        <v>735</v>
      </c>
      <c r="J10" s="3" t="s">
        <v>772</v>
      </c>
    </row>
    <row r="11" spans="1:10" ht="27.6">
      <c r="A11" s="3" t="s">
        <v>773</v>
      </c>
      <c r="B11" s="3" t="s">
        <v>98</v>
      </c>
      <c r="C11" s="3" t="s">
        <v>609</v>
      </c>
      <c r="D11" s="3" t="s">
        <v>774</v>
      </c>
      <c r="E11" s="3" t="s">
        <v>775</v>
      </c>
      <c r="F11" s="3" t="s">
        <v>776</v>
      </c>
      <c r="G11" s="3" t="s">
        <v>777</v>
      </c>
      <c r="H11" s="3" t="s">
        <v>778</v>
      </c>
      <c r="I11" s="3" t="s">
        <v>735</v>
      </c>
      <c r="J11" s="3" t="s">
        <v>779</v>
      </c>
    </row>
    <row r="12" spans="1:10" ht="27.6">
      <c r="A12" s="3" t="s">
        <v>780</v>
      </c>
      <c r="B12" s="3" t="s">
        <v>612</v>
      </c>
      <c r="C12" s="3" t="s">
        <v>781</v>
      </c>
      <c r="D12" s="3" t="s">
        <v>782</v>
      </c>
      <c r="E12" s="3" t="s">
        <v>783</v>
      </c>
      <c r="F12" s="3" t="s">
        <v>784</v>
      </c>
      <c r="G12" s="3" t="s">
        <v>785</v>
      </c>
      <c r="H12" s="3" t="s">
        <v>786</v>
      </c>
      <c r="I12" s="3" t="s">
        <v>735</v>
      </c>
      <c r="J12" s="3" t="s">
        <v>787</v>
      </c>
    </row>
    <row r="13" spans="1:10" ht="27.6">
      <c r="A13" s="3" t="s">
        <v>788</v>
      </c>
      <c r="B13" s="3" t="s">
        <v>113</v>
      </c>
      <c r="C13" s="3" t="s">
        <v>621</v>
      </c>
      <c r="D13" s="3" t="s">
        <v>789</v>
      </c>
      <c r="E13" s="3" t="s">
        <v>790</v>
      </c>
      <c r="F13" s="3" t="s">
        <v>791</v>
      </c>
      <c r="G13" s="3" t="s">
        <v>792</v>
      </c>
      <c r="H13" s="3" t="s">
        <v>793</v>
      </c>
      <c r="I13" s="3" t="s">
        <v>735</v>
      </c>
      <c r="J13" s="3" t="s">
        <v>794</v>
      </c>
    </row>
    <row r="14" spans="1:10" ht="27.6">
      <c r="A14" s="3" t="s">
        <v>795</v>
      </c>
      <c r="B14" s="3" t="s">
        <v>631</v>
      </c>
      <c r="C14" s="3" t="s">
        <v>796</v>
      </c>
      <c r="D14" s="3" t="s">
        <v>797</v>
      </c>
      <c r="E14" s="3" t="s">
        <v>798</v>
      </c>
      <c r="F14" s="3" t="s">
        <v>799</v>
      </c>
      <c r="G14" s="3" t="s">
        <v>800</v>
      </c>
      <c r="H14" s="3" t="s">
        <v>801</v>
      </c>
      <c r="I14" s="3" t="s">
        <v>735</v>
      </c>
      <c r="J14" s="3" t="s">
        <v>802</v>
      </c>
    </row>
    <row r="15" spans="1:10" ht="27.6">
      <c r="A15" s="3" t="s">
        <v>803</v>
      </c>
      <c r="B15" s="3" t="s">
        <v>643</v>
      </c>
      <c r="C15" s="3" t="s">
        <v>804</v>
      </c>
      <c r="D15" s="3" t="s">
        <v>805</v>
      </c>
      <c r="E15" s="3" t="s">
        <v>806</v>
      </c>
      <c r="F15" s="3" t="s">
        <v>807</v>
      </c>
      <c r="G15" s="3" t="s">
        <v>808</v>
      </c>
      <c r="H15" s="3" t="s">
        <v>809</v>
      </c>
      <c r="I15" s="3" t="s">
        <v>735</v>
      </c>
      <c r="J15" s="3" t="s">
        <v>810</v>
      </c>
    </row>
    <row r="16" spans="1:10" ht="27.6">
      <c r="A16" s="3" t="s">
        <v>811</v>
      </c>
      <c r="B16" s="3" t="s">
        <v>694</v>
      </c>
      <c r="C16" s="3" t="s">
        <v>695</v>
      </c>
      <c r="D16" s="3" t="s">
        <v>812</v>
      </c>
      <c r="E16" s="3" t="s">
        <v>813</v>
      </c>
      <c r="F16" s="3" t="s">
        <v>814</v>
      </c>
      <c r="G16" s="3" t="s">
        <v>815</v>
      </c>
      <c r="H16" s="3" t="s">
        <v>816</v>
      </c>
      <c r="I16" s="3" t="s">
        <v>735</v>
      </c>
      <c r="J16" s="3" t="s">
        <v>817</v>
      </c>
    </row>
    <row r="17" spans="1:10" ht="27.6">
      <c r="A17" s="3" t="s">
        <v>818</v>
      </c>
      <c r="B17" s="3" t="s">
        <v>690</v>
      </c>
      <c r="C17" s="3" t="s">
        <v>819</v>
      </c>
      <c r="D17" s="3" t="s">
        <v>820</v>
      </c>
      <c r="E17" s="3" t="s">
        <v>821</v>
      </c>
      <c r="F17" s="3" t="s">
        <v>822</v>
      </c>
      <c r="G17" s="3" t="s">
        <v>823</v>
      </c>
      <c r="H17" s="3" t="s">
        <v>824</v>
      </c>
      <c r="I17" s="3" t="s">
        <v>735</v>
      </c>
      <c r="J17" s="3" t="s">
        <v>825</v>
      </c>
    </row>
    <row r="18" spans="1:10" ht="27.6">
      <c r="A18" s="3" t="s">
        <v>826</v>
      </c>
      <c r="B18" s="3" t="s">
        <v>649</v>
      </c>
      <c r="C18" s="3" t="s">
        <v>827</v>
      </c>
      <c r="D18" s="3" t="s">
        <v>828</v>
      </c>
      <c r="E18" s="3" t="s">
        <v>829</v>
      </c>
      <c r="F18" s="3" t="s">
        <v>830</v>
      </c>
      <c r="G18" s="3" t="s">
        <v>831</v>
      </c>
      <c r="H18" s="3" t="s">
        <v>832</v>
      </c>
      <c r="I18" s="3" t="s">
        <v>735</v>
      </c>
      <c r="J18" s="3" t="s">
        <v>833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workbookViewId="0">
      <selection sqref="A1:G1"/>
    </sheetView>
  </sheetViews>
  <sheetFormatPr defaultRowHeight="13.8"/>
  <cols>
    <col min="1" max="1" width="20" customWidth="1"/>
    <col min="2" max="2" width="24" customWidth="1"/>
    <col min="3" max="3" width="48" customWidth="1"/>
    <col min="4" max="5" width="18" customWidth="1"/>
    <col min="6" max="6" width="14" customWidth="1"/>
    <col min="7" max="7" width="50" customWidth="1"/>
  </cols>
  <sheetData>
    <row r="1" spans="1:7" ht="22.35" customHeight="1">
      <c r="A1" s="21" t="s">
        <v>834</v>
      </c>
      <c r="B1" s="22"/>
      <c r="C1" s="22"/>
      <c r="D1" s="22"/>
      <c r="E1" s="22"/>
      <c r="F1" s="22"/>
      <c r="G1" s="22"/>
    </row>
    <row r="2" spans="1:7" ht="22.35" customHeight="1">
      <c r="A2" s="23" t="s">
        <v>835</v>
      </c>
      <c r="B2" s="22"/>
      <c r="C2" s="22"/>
      <c r="D2" s="22"/>
      <c r="E2" s="22"/>
      <c r="F2" s="22"/>
      <c r="G2" s="22"/>
    </row>
    <row r="4" spans="1:7">
      <c r="A4" s="2" t="s">
        <v>836</v>
      </c>
      <c r="B4" s="2" t="s">
        <v>837</v>
      </c>
      <c r="C4" s="2" t="s">
        <v>838</v>
      </c>
      <c r="D4" s="2" t="s">
        <v>839</v>
      </c>
      <c r="E4" s="2" t="s">
        <v>840</v>
      </c>
      <c r="F4" s="2" t="s">
        <v>841</v>
      </c>
      <c r="G4" s="2" t="s">
        <v>73</v>
      </c>
    </row>
    <row r="5" spans="1:7">
      <c r="A5" s="3" t="s">
        <v>842</v>
      </c>
      <c r="B5" s="3" t="s">
        <v>843</v>
      </c>
      <c r="C5" s="3" t="s">
        <v>844</v>
      </c>
      <c r="D5" s="3" t="s">
        <v>580</v>
      </c>
      <c r="E5" s="3" t="s">
        <v>580</v>
      </c>
      <c r="F5" s="3" t="s">
        <v>845</v>
      </c>
      <c r="G5" s="3" t="s">
        <v>846</v>
      </c>
    </row>
    <row r="6" spans="1:7">
      <c r="A6" s="3" t="s">
        <v>847</v>
      </c>
      <c r="B6" s="3" t="s">
        <v>848</v>
      </c>
      <c r="C6" s="3" t="s">
        <v>849</v>
      </c>
      <c r="D6" s="3" t="s">
        <v>581</v>
      </c>
      <c r="E6" s="3" t="s">
        <v>581</v>
      </c>
      <c r="F6" s="3" t="s">
        <v>850</v>
      </c>
      <c r="G6" s="3" t="s">
        <v>851</v>
      </c>
    </row>
    <row r="7" spans="1:7">
      <c r="A7" s="3" t="s">
        <v>852</v>
      </c>
      <c r="B7" s="3" t="s">
        <v>853</v>
      </c>
      <c r="C7" s="3" t="s">
        <v>854</v>
      </c>
      <c r="D7" s="3" t="s">
        <v>581</v>
      </c>
      <c r="E7" s="3" t="s">
        <v>581</v>
      </c>
      <c r="F7" s="3" t="s">
        <v>850</v>
      </c>
      <c r="G7" s="3" t="s">
        <v>855</v>
      </c>
    </row>
    <row r="8" spans="1:7">
      <c r="A8" s="3" t="s">
        <v>856</v>
      </c>
      <c r="B8" s="3" t="s">
        <v>857</v>
      </c>
      <c r="C8" s="3" t="s">
        <v>858</v>
      </c>
      <c r="D8" s="3" t="s">
        <v>581</v>
      </c>
      <c r="E8" s="3" t="s">
        <v>581</v>
      </c>
      <c r="F8" s="3" t="s">
        <v>850</v>
      </c>
      <c r="G8" s="3" t="s">
        <v>859</v>
      </c>
    </row>
    <row r="9" spans="1:7">
      <c r="A9" s="3" t="s">
        <v>860</v>
      </c>
      <c r="B9" s="3" t="s">
        <v>861</v>
      </c>
      <c r="C9" s="3" t="s">
        <v>862</v>
      </c>
      <c r="D9" s="3" t="s">
        <v>581</v>
      </c>
      <c r="E9" s="3" t="s">
        <v>580</v>
      </c>
      <c r="F9" s="3" t="s">
        <v>850</v>
      </c>
      <c r="G9" s="3" t="s">
        <v>863</v>
      </c>
    </row>
    <row r="10" spans="1:7">
      <c r="A10" s="3" t="s">
        <v>108</v>
      </c>
      <c r="B10" s="3" t="s">
        <v>864</v>
      </c>
      <c r="C10" s="3" t="s">
        <v>865</v>
      </c>
      <c r="D10" s="3" t="s">
        <v>581</v>
      </c>
      <c r="E10" s="3" t="s">
        <v>580</v>
      </c>
      <c r="F10" s="3" t="s">
        <v>845</v>
      </c>
      <c r="G10" s="3" t="s">
        <v>866</v>
      </c>
    </row>
    <row r="11" spans="1:7">
      <c r="A11" s="3" t="s">
        <v>867</v>
      </c>
      <c r="B11" s="3" t="s">
        <v>868</v>
      </c>
      <c r="C11" s="3" t="s">
        <v>869</v>
      </c>
      <c r="D11" s="3" t="s">
        <v>581</v>
      </c>
      <c r="E11" s="3" t="s">
        <v>580</v>
      </c>
      <c r="F11" s="3" t="s">
        <v>845</v>
      </c>
      <c r="G11" s="3" t="s">
        <v>870</v>
      </c>
    </row>
    <row r="12" spans="1:7">
      <c r="A12" s="3" t="s">
        <v>91</v>
      </c>
      <c r="B12" s="3" t="s">
        <v>871</v>
      </c>
      <c r="C12" s="3" t="s">
        <v>872</v>
      </c>
      <c r="D12" s="3" t="s">
        <v>581</v>
      </c>
      <c r="E12" s="3" t="s">
        <v>580</v>
      </c>
      <c r="F12" s="3" t="s">
        <v>845</v>
      </c>
      <c r="G12" s="3" t="s">
        <v>873</v>
      </c>
    </row>
    <row r="13" spans="1:7">
      <c r="A13" s="3" t="s">
        <v>82</v>
      </c>
      <c r="B13" s="3" t="s">
        <v>874</v>
      </c>
      <c r="C13" s="3" t="s">
        <v>875</v>
      </c>
      <c r="D13" s="3" t="s">
        <v>581</v>
      </c>
      <c r="E13" s="3" t="s">
        <v>580</v>
      </c>
      <c r="F13" s="3" t="s">
        <v>845</v>
      </c>
      <c r="G13" s="3" t="s">
        <v>876</v>
      </c>
    </row>
    <row r="14" spans="1:7">
      <c r="A14" s="3" t="s">
        <v>877</v>
      </c>
      <c r="B14" s="3" t="s">
        <v>878</v>
      </c>
      <c r="C14" s="3" t="s">
        <v>879</v>
      </c>
      <c r="D14" s="3" t="s">
        <v>581</v>
      </c>
      <c r="E14" s="3" t="s">
        <v>580</v>
      </c>
      <c r="F14" s="3" t="s">
        <v>845</v>
      </c>
      <c r="G14" s="3" t="s">
        <v>880</v>
      </c>
    </row>
    <row r="15" spans="1:7">
      <c r="A15" s="3" t="s">
        <v>652</v>
      </c>
      <c r="B15" s="3" t="s">
        <v>881</v>
      </c>
      <c r="C15" s="3" t="s">
        <v>882</v>
      </c>
      <c r="D15" s="3" t="s">
        <v>581</v>
      </c>
      <c r="E15" s="3" t="s">
        <v>580</v>
      </c>
      <c r="F15" s="3" t="s">
        <v>845</v>
      </c>
      <c r="G15" s="3" t="s">
        <v>883</v>
      </c>
    </row>
    <row r="16" spans="1:7">
      <c r="A16" s="3" t="s">
        <v>627</v>
      </c>
      <c r="B16" s="3" t="s">
        <v>884</v>
      </c>
      <c r="C16" s="3" t="s">
        <v>885</v>
      </c>
      <c r="D16" s="3" t="s">
        <v>581</v>
      </c>
      <c r="E16" s="3" t="s">
        <v>581</v>
      </c>
      <c r="F16" s="3" t="s">
        <v>850</v>
      </c>
      <c r="G16" s="3" t="s">
        <v>886</v>
      </c>
    </row>
    <row r="17" spans="1:7">
      <c r="A17" s="3" t="s">
        <v>887</v>
      </c>
      <c r="B17" s="3" t="s">
        <v>888</v>
      </c>
      <c r="C17" s="3" t="s">
        <v>889</v>
      </c>
      <c r="D17" s="3" t="s">
        <v>581</v>
      </c>
      <c r="E17" s="3" t="s">
        <v>580</v>
      </c>
      <c r="F17" s="3" t="s">
        <v>845</v>
      </c>
      <c r="G17" s="3" t="s">
        <v>890</v>
      </c>
    </row>
    <row r="18" spans="1:7">
      <c r="A18" s="3" t="s">
        <v>642</v>
      </c>
      <c r="B18" s="3" t="s">
        <v>891</v>
      </c>
      <c r="C18" s="3" t="s">
        <v>892</v>
      </c>
      <c r="D18" s="3" t="s">
        <v>581</v>
      </c>
      <c r="E18" s="3" t="s">
        <v>580</v>
      </c>
      <c r="F18" s="3" t="s">
        <v>845</v>
      </c>
      <c r="G18" s="3" t="s">
        <v>893</v>
      </c>
    </row>
    <row r="19" spans="1:7">
      <c r="A19" s="3" t="s">
        <v>689</v>
      </c>
      <c r="B19" s="3" t="s">
        <v>894</v>
      </c>
      <c r="C19" s="3" t="s">
        <v>895</v>
      </c>
      <c r="D19" s="3" t="s">
        <v>580</v>
      </c>
      <c r="E19" s="3" t="s">
        <v>580</v>
      </c>
      <c r="F19" s="3" t="s">
        <v>845</v>
      </c>
      <c r="G19" s="3" t="s">
        <v>896</v>
      </c>
    </row>
    <row r="20" spans="1:7">
      <c r="A20" s="3" t="s">
        <v>897</v>
      </c>
      <c r="B20" s="3" t="s">
        <v>898</v>
      </c>
      <c r="C20" s="3" t="s">
        <v>899</v>
      </c>
      <c r="D20" s="3" t="s">
        <v>580</v>
      </c>
      <c r="E20" s="3" t="s">
        <v>580</v>
      </c>
      <c r="F20" s="3" t="s">
        <v>900</v>
      </c>
      <c r="G20" s="3" t="s">
        <v>901</v>
      </c>
    </row>
    <row r="21" spans="1:7">
      <c r="A21" s="3" t="s">
        <v>902</v>
      </c>
      <c r="B21" s="3" t="s">
        <v>903</v>
      </c>
      <c r="C21" s="3" t="s">
        <v>904</v>
      </c>
      <c r="D21" s="3" t="s">
        <v>581</v>
      </c>
      <c r="E21" s="3" t="s">
        <v>580</v>
      </c>
      <c r="F21" s="3" t="s">
        <v>845</v>
      </c>
      <c r="G21" s="3" t="s">
        <v>905</v>
      </c>
    </row>
    <row r="22" spans="1:7">
      <c r="A22" s="3" t="s">
        <v>693</v>
      </c>
      <c r="B22" s="3" t="s">
        <v>906</v>
      </c>
      <c r="C22" s="3" t="s">
        <v>907</v>
      </c>
      <c r="D22" s="3" t="s">
        <v>580</v>
      </c>
      <c r="E22" s="3" t="s">
        <v>580</v>
      </c>
      <c r="F22" s="3" t="s">
        <v>850</v>
      </c>
      <c r="G22" s="3" t="s">
        <v>908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workbookViewId="0">
      <selection sqref="A1:F1"/>
    </sheetView>
  </sheetViews>
  <sheetFormatPr defaultRowHeight="13.8"/>
  <cols>
    <col min="1" max="1" width="16" customWidth="1"/>
    <col min="2" max="2" width="28" customWidth="1"/>
    <col min="3" max="3" width="14" customWidth="1"/>
    <col min="4" max="4" width="60" customWidth="1"/>
    <col min="5" max="5" width="30" customWidth="1"/>
    <col min="6" max="6" width="22" customWidth="1"/>
  </cols>
  <sheetData>
    <row r="1" spans="1:6" ht="22.35" customHeight="1">
      <c r="A1" s="21" t="s">
        <v>909</v>
      </c>
      <c r="B1" s="22"/>
      <c r="C1" s="22"/>
      <c r="D1" s="22"/>
      <c r="E1" s="22"/>
      <c r="F1" s="22"/>
    </row>
    <row r="2" spans="1:6" ht="22.35" customHeight="1">
      <c r="A2" s="23" t="s">
        <v>910</v>
      </c>
      <c r="B2" s="22"/>
      <c r="C2" s="22"/>
      <c r="D2" s="22"/>
      <c r="E2" s="22"/>
      <c r="F2" s="22"/>
    </row>
    <row r="4" spans="1:6">
      <c r="A4" s="6" t="s">
        <v>911</v>
      </c>
      <c r="B4" s="6" t="s">
        <v>102</v>
      </c>
      <c r="C4" s="6" t="s">
        <v>912</v>
      </c>
      <c r="D4" s="6" t="s">
        <v>160</v>
      </c>
      <c r="E4" s="6" t="s">
        <v>159</v>
      </c>
      <c r="F4" s="6" t="s">
        <v>913</v>
      </c>
    </row>
    <row r="5" spans="1:6" ht="27.6">
      <c r="A5" s="3" t="s">
        <v>914</v>
      </c>
      <c r="B5" s="3" t="s">
        <v>915</v>
      </c>
      <c r="C5" s="3" t="s">
        <v>683</v>
      </c>
      <c r="D5" s="3" t="s">
        <v>916</v>
      </c>
      <c r="E5" s="3" t="s">
        <v>917</v>
      </c>
      <c r="F5" s="3" t="s">
        <v>116</v>
      </c>
    </row>
    <row r="6" spans="1:6">
      <c r="A6" s="3" t="s">
        <v>918</v>
      </c>
      <c r="B6" s="3" t="s">
        <v>919</v>
      </c>
      <c r="C6" s="3" t="s">
        <v>683</v>
      </c>
      <c r="D6" s="3" t="s">
        <v>920</v>
      </c>
      <c r="E6" s="3" t="s">
        <v>921</v>
      </c>
      <c r="F6" s="3" t="s">
        <v>922</v>
      </c>
    </row>
    <row r="7" spans="1:6" ht="27.6">
      <c r="A7" s="3" t="s">
        <v>923</v>
      </c>
      <c r="B7" s="3" t="s">
        <v>924</v>
      </c>
      <c r="C7" s="3" t="s">
        <v>683</v>
      </c>
      <c r="D7" s="3" t="s">
        <v>925</v>
      </c>
      <c r="E7" s="3" t="s">
        <v>926</v>
      </c>
      <c r="F7" s="3" t="s">
        <v>927</v>
      </c>
    </row>
    <row r="8" spans="1:6" ht="27.6">
      <c r="A8" s="3" t="s">
        <v>115</v>
      </c>
      <c r="B8" s="3" t="s">
        <v>928</v>
      </c>
      <c r="C8" s="3" t="s">
        <v>683</v>
      </c>
      <c r="D8" s="3" t="s">
        <v>929</v>
      </c>
      <c r="E8" s="3" t="s">
        <v>930</v>
      </c>
      <c r="F8" s="3" t="s">
        <v>116</v>
      </c>
    </row>
    <row r="9" spans="1:6">
      <c r="A9" s="3" t="s">
        <v>107</v>
      </c>
      <c r="B9" s="3" t="s">
        <v>931</v>
      </c>
      <c r="C9" s="3" t="s">
        <v>615</v>
      </c>
      <c r="D9" s="3" t="s">
        <v>932</v>
      </c>
      <c r="E9" s="3" t="s">
        <v>933</v>
      </c>
      <c r="F9" s="3" t="s">
        <v>934</v>
      </c>
    </row>
    <row r="10" spans="1:6" ht="27.6">
      <c r="A10" s="3" t="s">
        <v>81</v>
      </c>
      <c r="B10" s="3" t="s">
        <v>935</v>
      </c>
      <c r="C10" s="3" t="s">
        <v>615</v>
      </c>
      <c r="D10" s="3" t="s">
        <v>936</v>
      </c>
      <c r="E10" s="3" t="s">
        <v>937</v>
      </c>
      <c r="F10" s="3" t="s">
        <v>934</v>
      </c>
    </row>
    <row r="11" spans="1:6" ht="27.6">
      <c r="A11" s="3" t="s">
        <v>938</v>
      </c>
      <c r="B11" s="3" t="s">
        <v>939</v>
      </c>
      <c r="C11" s="3" t="s">
        <v>615</v>
      </c>
      <c r="D11" s="3" t="s">
        <v>940</v>
      </c>
      <c r="E11" s="3" t="s">
        <v>941</v>
      </c>
      <c r="F11" s="3" t="s">
        <v>922</v>
      </c>
    </row>
    <row r="12" spans="1:6">
      <c r="A12" s="3" t="s">
        <v>942</v>
      </c>
      <c r="B12" s="3" t="s">
        <v>943</v>
      </c>
      <c r="C12" s="3" t="s">
        <v>615</v>
      </c>
      <c r="D12" s="3" t="s">
        <v>944</v>
      </c>
      <c r="E12" s="3" t="s">
        <v>945</v>
      </c>
      <c r="F12" s="3" t="s">
        <v>934</v>
      </c>
    </row>
    <row r="13" spans="1:6">
      <c r="A13" s="3" t="s">
        <v>946</v>
      </c>
      <c r="B13" s="3" t="s">
        <v>947</v>
      </c>
      <c r="C13" s="3" t="s">
        <v>615</v>
      </c>
      <c r="D13" s="3" t="s">
        <v>948</v>
      </c>
      <c r="E13" s="3" t="s">
        <v>949</v>
      </c>
      <c r="F13" s="3" t="s">
        <v>116</v>
      </c>
    </row>
    <row r="14" spans="1:6">
      <c r="A14" s="3" t="s">
        <v>950</v>
      </c>
      <c r="B14" s="3" t="s">
        <v>951</v>
      </c>
      <c r="C14" s="3" t="s">
        <v>600</v>
      </c>
      <c r="D14" s="3" t="s">
        <v>952</v>
      </c>
      <c r="E14" s="3" t="s">
        <v>953</v>
      </c>
      <c r="F14" s="3" t="s">
        <v>934</v>
      </c>
    </row>
    <row r="15" spans="1:6">
      <c r="A15" s="3" t="s">
        <v>954</v>
      </c>
      <c r="B15" s="3" t="s">
        <v>955</v>
      </c>
      <c r="C15" s="3" t="s">
        <v>600</v>
      </c>
      <c r="D15" s="3" t="s">
        <v>956</v>
      </c>
      <c r="E15" s="3" t="s">
        <v>957</v>
      </c>
      <c r="F15" s="3" t="s">
        <v>934</v>
      </c>
    </row>
    <row r="16" spans="1:6">
      <c r="A16" s="3" t="s">
        <v>958</v>
      </c>
      <c r="B16" s="3" t="s">
        <v>959</v>
      </c>
      <c r="C16" s="3" t="s">
        <v>600</v>
      </c>
      <c r="D16" s="3" t="s">
        <v>960</v>
      </c>
      <c r="E16" s="3" t="s">
        <v>933</v>
      </c>
      <c r="F16" s="3" t="s">
        <v>596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workbookViewId="0">
      <selection sqref="A1:F1"/>
    </sheetView>
  </sheetViews>
  <sheetFormatPr defaultRowHeight="13.8"/>
  <cols>
    <col min="1" max="1" width="20" customWidth="1"/>
    <col min="2" max="2" width="24" customWidth="1"/>
    <col min="3" max="3" width="18" customWidth="1"/>
    <col min="4" max="4" width="38" customWidth="1"/>
    <col min="5" max="5" width="52" customWidth="1"/>
    <col min="6" max="6" width="18" customWidth="1"/>
  </cols>
  <sheetData>
    <row r="1" spans="1:6" ht="22.35" customHeight="1">
      <c r="A1" s="21" t="s">
        <v>961</v>
      </c>
      <c r="B1" s="22"/>
      <c r="C1" s="22"/>
      <c r="D1" s="22"/>
      <c r="E1" s="22"/>
      <c r="F1" s="22"/>
    </row>
    <row r="2" spans="1:6" ht="22.35" customHeight="1">
      <c r="A2" s="23" t="s">
        <v>962</v>
      </c>
      <c r="B2" s="22"/>
      <c r="C2" s="22"/>
      <c r="D2" s="22"/>
      <c r="E2" s="22"/>
      <c r="F2" s="22"/>
    </row>
    <row r="4" spans="1:6" ht="27.6">
      <c r="A4" s="4" t="s">
        <v>963</v>
      </c>
      <c r="B4" s="4" t="s">
        <v>964</v>
      </c>
      <c r="C4" s="4" t="s">
        <v>965</v>
      </c>
      <c r="D4" s="4" t="s">
        <v>966</v>
      </c>
      <c r="E4" s="4" t="s">
        <v>160</v>
      </c>
      <c r="F4" s="4" t="s">
        <v>967</v>
      </c>
    </row>
    <row r="5" spans="1:6">
      <c r="A5" s="3" t="s">
        <v>968</v>
      </c>
      <c r="B5" s="3" t="s">
        <v>969</v>
      </c>
      <c r="C5" s="3" t="s">
        <v>970</v>
      </c>
      <c r="D5" s="3" t="s">
        <v>971</v>
      </c>
      <c r="E5" s="3" t="s">
        <v>972</v>
      </c>
      <c r="F5" s="3" t="s">
        <v>581</v>
      </c>
    </row>
    <row r="6" spans="1:6">
      <c r="A6" s="3" t="s">
        <v>973</v>
      </c>
      <c r="B6" s="3" t="s">
        <v>974</v>
      </c>
      <c r="C6" s="3" t="s">
        <v>975</v>
      </c>
      <c r="D6" s="3" t="s">
        <v>976</v>
      </c>
      <c r="E6" s="3" t="s">
        <v>977</v>
      </c>
      <c r="F6" s="3" t="s">
        <v>581</v>
      </c>
    </row>
    <row r="7" spans="1:6">
      <c r="A7" s="3" t="s">
        <v>978</v>
      </c>
      <c r="B7" s="3" t="s">
        <v>979</v>
      </c>
      <c r="C7" s="3" t="s">
        <v>975</v>
      </c>
      <c r="D7" s="3" t="s">
        <v>980</v>
      </c>
      <c r="E7" s="3" t="s">
        <v>981</v>
      </c>
      <c r="F7" s="3" t="s">
        <v>581</v>
      </c>
    </row>
    <row r="8" spans="1:6">
      <c r="A8" s="3" t="s">
        <v>982</v>
      </c>
      <c r="B8" s="3" t="s">
        <v>983</v>
      </c>
      <c r="C8" s="3" t="s">
        <v>975</v>
      </c>
      <c r="D8" s="3" t="s">
        <v>984</v>
      </c>
      <c r="E8" s="3" t="s">
        <v>985</v>
      </c>
      <c r="F8" s="3" t="s">
        <v>581</v>
      </c>
    </row>
    <row r="9" spans="1:6">
      <c r="A9" s="3" t="s">
        <v>986</v>
      </c>
      <c r="B9" s="3" t="s">
        <v>987</v>
      </c>
      <c r="C9" s="3" t="s">
        <v>975</v>
      </c>
      <c r="D9" s="3" t="s">
        <v>988</v>
      </c>
      <c r="E9" s="3" t="s">
        <v>989</v>
      </c>
      <c r="F9" s="3" t="s">
        <v>581</v>
      </c>
    </row>
    <row r="10" spans="1:6">
      <c r="A10" s="3" t="s">
        <v>990</v>
      </c>
      <c r="B10" s="3" t="s">
        <v>991</v>
      </c>
      <c r="C10" s="3" t="s">
        <v>992</v>
      </c>
      <c r="D10" s="3" t="s">
        <v>993</v>
      </c>
      <c r="E10" s="3" t="s">
        <v>994</v>
      </c>
      <c r="F10" s="3" t="s">
        <v>595</v>
      </c>
    </row>
    <row r="11" spans="1:6">
      <c r="A11" s="3" t="s">
        <v>995</v>
      </c>
      <c r="B11" s="3" t="s">
        <v>996</v>
      </c>
      <c r="C11" s="3" t="s">
        <v>992</v>
      </c>
      <c r="D11" s="3" t="s">
        <v>997</v>
      </c>
      <c r="E11" s="3" t="s">
        <v>998</v>
      </c>
      <c r="F11" s="3" t="s">
        <v>595</v>
      </c>
    </row>
    <row r="12" spans="1:6">
      <c r="A12" s="3" t="s">
        <v>999</v>
      </c>
      <c r="B12" s="3" t="s">
        <v>1000</v>
      </c>
      <c r="C12" s="3" t="s">
        <v>1001</v>
      </c>
      <c r="D12" s="3" t="s">
        <v>1002</v>
      </c>
      <c r="E12" s="3" t="s">
        <v>1003</v>
      </c>
      <c r="F12" s="3" t="s">
        <v>595</v>
      </c>
    </row>
    <row r="13" spans="1:6">
      <c r="A13" s="3" t="s">
        <v>415</v>
      </c>
      <c r="B13" s="3" t="s">
        <v>416</v>
      </c>
      <c r="C13" s="3" t="s">
        <v>1001</v>
      </c>
      <c r="D13" s="3" t="s">
        <v>1004</v>
      </c>
      <c r="E13" s="3" t="s">
        <v>1005</v>
      </c>
      <c r="F13" s="3" t="s">
        <v>595</v>
      </c>
    </row>
    <row r="14" spans="1:6">
      <c r="A14" s="3" t="s">
        <v>1006</v>
      </c>
      <c r="B14" s="3" t="s">
        <v>1007</v>
      </c>
      <c r="C14" s="3" t="s">
        <v>1001</v>
      </c>
      <c r="D14" s="3" t="s">
        <v>1008</v>
      </c>
      <c r="E14" s="3" t="s">
        <v>1009</v>
      </c>
      <c r="F14" s="3" t="s">
        <v>581</v>
      </c>
    </row>
    <row r="15" spans="1:6">
      <c r="A15" s="3" t="s">
        <v>1010</v>
      </c>
      <c r="B15" s="3" t="s">
        <v>1011</v>
      </c>
      <c r="C15" s="3" t="s">
        <v>1001</v>
      </c>
      <c r="D15" s="3" t="s">
        <v>1012</v>
      </c>
      <c r="E15" s="3" t="s">
        <v>1013</v>
      </c>
      <c r="F15" s="3" t="s">
        <v>581</v>
      </c>
    </row>
    <row r="16" spans="1:6">
      <c r="A16" s="3" t="s">
        <v>1014</v>
      </c>
      <c r="B16" s="3" t="s">
        <v>1015</v>
      </c>
      <c r="C16" s="3" t="s">
        <v>1001</v>
      </c>
      <c r="D16" s="3" t="s">
        <v>707</v>
      </c>
      <c r="E16" s="3" t="s">
        <v>1016</v>
      </c>
      <c r="F16" s="3" t="s">
        <v>581</v>
      </c>
    </row>
    <row r="17" spans="1:6">
      <c r="A17" s="3" t="s">
        <v>1017</v>
      </c>
      <c r="B17" s="3" t="s">
        <v>1018</v>
      </c>
      <c r="C17" s="3" t="s">
        <v>970</v>
      </c>
      <c r="D17" s="3" t="s">
        <v>1019</v>
      </c>
      <c r="E17" s="3" t="s">
        <v>1020</v>
      </c>
      <c r="F17" s="3" t="s">
        <v>581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4"/>
  <sheetViews>
    <sheetView topLeftCell="A2" workbookViewId="0">
      <selection sqref="A1:R1"/>
    </sheetView>
  </sheetViews>
  <sheetFormatPr defaultRowHeight="13.8"/>
  <cols>
    <col min="1" max="1" width="16" customWidth="1"/>
    <col min="2" max="2" width="10" customWidth="1"/>
    <col min="3" max="3" width="22" customWidth="1"/>
    <col min="4" max="4" width="20" customWidth="1"/>
    <col min="5" max="10" width="18" customWidth="1"/>
    <col min="11" max="12" width="22" customWidth="1"/>
    <col min="13" max="14" width="18" customWidth="1"/>
    <col min="15" max="15" width="16" customWidth="1"/>
    <col min="16" max="16" width="48" customWidth="1"/>
  </cols>
  <sheetData>
    <row r="1" spans="1:18" ht="22.35" customHeight="1">
      <c r="A1" s="21" t="s">
        <v>1021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2.35" customHeight="1">
      <c r="A2" s="23" t="s">
        <v>1022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4" spans="1:18">
      <c r="A4" s="4" t="s">
        <v>1023</v>
      </c>
      <c r="B4" s="4" t="s">
        <v>60</v>
      </c>
      <c r="C4" s="4" t="s">
        <v>1024</v>
      </c>
      <c r="D4" s="4" t="s">
        <v>1025</v>
      </c>
      <c r="E4" s="4" t="s">
        <v>1026</v>
      </c>
      <c r="F4" s="4" t="s">
        <v>1027</v>
      </c>
      <c r="G4" s="4" t="s">
        <v>1028</v>
      </c>
      <c r="H4" s="4" t="s">
        <v>1029</v>
      </c>
      <c r="I4" s="4" t="s">
        <v>1030</v>
      </c>
      <c r="J4" s="4" t="s">
        <v>1031</v>
      </c>
      <c r="K4" s="4" t="s">
        <v>1032</v>
      </c>
      <c r="L4" s="4" t="s">
        <v>72</v>
      </c>
      <c r="M4" s="4" t="s">
        <v>71</v>
      </c>
      <c r="N4" s="4" t="s">
        <v>1033</v>
      </c>
      <c r="O4" s="4" t="s">
        <v>690</v>
      </c>
      <c r="P4" s="4" t="s">
        <v>73</v>
      </c>
    </row>
    <row r="5" spans="1:18">
      <c r="A5" s="3" t="s">
        <v>1034</v>
      </c>
      <c r="B5" s="3" t="s">
        <v>119</v>
      </c>
      <c r="C5" s="3" t="s">
        <v>986</v>
      </c>
      <c r="D5" s="3" t="s">
        <v>74</v>
      </c>
      <c r="E5" s="3" t="s">
        <v>581</v>
      </c>
      <c r="F5" s="3" t="s">
        <v>576</v>
      </c>
      <c r="G5" s="3" t="s">
        <v>80</v>
      </c>
      <c r="H5" s="3" t="s">
        <v>105</v>
      </c>
      <c r="I5" s="3" t="s">
        <v>694</v>
      </c>
      <c r="J5" s="3"/>
      <c r="K5" s="3" t="s">
        <v>81</v>
      </c>
      <c r="L5" s="3" t="s">
        <v>83</v>
      </c>
      <c r="M5" s="3" t="s">
        <v>82</v>
      </c>
      <c r="N5" s="3">
        <v>500</v>
      </c>
      <c r="O5" s="3" t="s">
        <v>1035</v>
      </c>
      <c r="P5" s="3" t="s">
        <v>1036</v>
      </c>
    </row>
    <row r="6" spans="1:18">
      <c r="A6" s="3" t="s">
        <v>1037</v>
      </c>
      <c r="B6" s="3" t="s">
        <v>119</v>
      </c>
      <c r="C6" s="3" t="s">
        <v>1006</v>
      </c>
      <c r="D6" s="3" t="s">
        <v>101</v>
      </c>
      <c r="E6" s="3" t="s">
        <v>581</v>
      </c>
      <c r="F6" s="3" t="s">
        <v>624</v>
      </c>
      <c r="G6" s="3" t="s">
        <v>627</v>
      </c>
      <c r="H6" s="3" t="s">
        <v>631</v>
      </c>
      <c r="I6" s="3" t="s">
        <v>612</v>
      </c>
      <c r="J6" s="3" t="s">
        <v>694</v>
      </c>
      <c r="K6" s="3" t="s">
        <v>942</v>
      </c>
      <c r="L6" s="3" t="s">
        <v>92</v>
      </c>
      <c r="M6" s="3" t="s">
        <v>627</v>
      </c>
      <c r="N6" s="3">
        <v>200</v>
      </c>
      <c r="O6" s="3" t="s">
        <v>1035</v>
      </c>
      <c r="P6" s="3" t="s">
        <v>1038</v>
      </c>
    </row>
    <row r="7" spans="1:18">
      <c r="A7" s="3" t="s">
        <v>1039</v>
      </c>
      <c r="B7" s="3" t="s">
        <v>119</v>
      </c>
      <c r="C7" s="3" t="s">
        <v>999</v>
      </c>
      <c r="D7" s="3" t="s">
        <v>74</v>
      </c>
      <c r="E7" s="3" t="s">
        <v>580</v>
      </c>
      <c r="F7" s="3" t="s">
        <v>643</v>
      </c>
      <c r="G7" s="3" t="s">
        <v>694</v>
      </c>
      <c r="H7" s="3"/>
      <c r="I7" s="3"/>
      <c r="J7" s="3"/>
      <c r="K7" s="3" t="s">
        <v>107</v>
      </c>
      <c r="L7" s="3" t="s">
        <v>596</v>
      </c>
      <c r="M7" s="3" t="s">
        <v>82</v>
      </c>
      <c r="N7" s="3">
        <v>1000</v>
      </c>
      <c r="O7" s="3" t="s">
        <v>1040</v>
      </c>
      <c r="P7" s="3" t="s">
        <v>1041</v>
      </c>
    </row>
    <row r="8" spans="1:18">
      <c r="A8" s="3" t="s">
        <v>1042</v>
      </c>
      <c r="B8" s="3" t="s">
        <v>119</v>
      </c>
      <c r="C8" s="3"/>
      <c r="D8" s="3"/>
      <c r="E8" s="3" t="s">
        <v>581</v>
      </c>
      <c r="F8" s="3"/>
      <c r="G8" s="3"/>
      <c r="H8" s="3"/>
      <c r="I8" s="3"/>
      <c r="J8" s="3"/>
      <c r="K8" s="3"/>
      <c r="L8" s="3" t="s">
        <v>83</v>
      </c>
      <c r="M8" s="3" t="s">
        <v>82</v>
      </c>
      <c r="N8" s="3">
        <v>100</v>
      </c>
      <c r="O8" s="3" t="s">
        <v>1035</v>
      </c>
      <c r="P8" s="3"/>
    </row>
    <row r="9" spans="1:18">
      <c r="A9" s="3" t="s">
        <v>1043</v>
      </c>
      <c r="B9" s="3" t="s">
        <v>119</v>
      </c>
      <c r="C9" s="3"/>
      <c r="D9" s="3"/>
      <c r="E9" s="3" t="s">
        <v>581</v>
      </c>
      <c r="F9" s="3"/>
      <c r="G9" s="3"/>
      <c r="H9" s="3"/>
      <c r="I9" s="3"/>
      <c r="J9" s="3"/>
      <c r="K9" s="3"/>
      <c r="L9" s="3" t="s">
        <v>83</v>
      </c>
      <c r="M9" s="3" t="s">
        <v>82</v>
      </c>
      <c r="N9" s="3">
        <v>100</v>
      </c>
      <c r="O9" s="3" t="s">
        <v>1035</v>
      </c>
      <c r="P9" s="3"/>
    </row>
    <row r="10" spans="1:18">
      <c r="A10" s="3" t="s">
        <v>1044</v>
      </c>
      <c r="B10" s="3" t="s">
        <v>119</v>
      </c>
      <c r="C10" s="3"/>
      <c r="D10" s="3"/>
      <c r="E10" s="3" t="s">
        <v>581</v>
      </c>
      <c r="F10" s="3"/>
      <c r="G10" s="3"/>
      <c r="H10" s="3"/>
      <c r="I10" s="3"/>
      <c r="J10" s="3"/>
      <c r="K10" s="3"/>
      <c r="L10" s="3" t="s">
        <v>83</v>
      </c>
      <c r="M10" s="3" t="s">
        <v>82</v>
      </c>
      <c r="N10" s="3">
        <v>100</v>
      </c>
      <c r="O10" s="3" t="s">
        <v>1035</v>
      </c>
      <c r="P10" s="3"/>
    </row>
    <row r="11" spans="1:18">
      <c r="A11" s="3" t="s">
        <v>1045</v>
      </c>
      <c r="B11" s="3" t="s">
        <v>119</v>
      </c>
      <c r="C11" s="3"/>
      <c r="D11" s="3"/>
      <c r="E11" s="3" t="s">
        <v>581</v>
      </c>
      <c r="F11" s="3"/>
      <c r="G11" s="3"/>
      <c r="H11" s="3"/>
      <c r="I11" s="3"/>
      <c r="J11" s="3"/>
      <c r="K11" s="3"/>
      <c r="L11" s="3" t="s">
        <v>83</v>
      </c>
      <c r="M11" s="3" t="s">
        <v>82</v>
      </c>
      <c r="N11" s="3">
        <v>100</v>
      </c>
      <c r="O11" s="3" t="s">
        <v>1035</v>
      </c>
      <c r="P11" s="3"/>
    </row>
    <row r="12" spans="1:18">
      <c r="A12" s="3" t="s">
        <v>1046</v>
      </c>
      <c r="B12" s="3" t="s">
        <v>119</v>
      </c>
      <c r="C12" s="3"/>
      <c r="D12" s="3"/>
      <c r="E12" s="3" t="s">
        <v>581</v>
      </c>
      <c r="F12" s="3"/>
      <c r="G12" s="3"/>
      <c r="H12" s="3"/>
      <c r="I12" s="3"/>
      <c r="J12" s="3"/>
      <c r="K12" s="3"/>
      <c r="L12" s="3" t="s">
        <v>83</v>
      </c>
      <c r="M12" s="3" t="s">
        <v>82</v>
      </c>
      <c r="N12" s="3">
        <v>100</v>
      </c>
      <c r="O12" s="3" t="s">
        <v>1035</v>
      </c>
      <c r="P12" s="3"/>
    </row>
    <row r="13" spans="1:18">
      <c r="A13" s="3" t="s">
        <v>1047</v>
      </c>
      <c r="B13" s="3" t="s">
        <v>119</v>
      </c>
      <c r="C13" s="3"/>
      <c r="D13" s="3"/>
      <c r="E13" s="3" t="s">
        <v>581</v>
      </c>
      <c r="F13" s="3"/>
      <c r="G13" s="3"/>
      <c r="H13" s="3"/>
      <c r="I13" s="3"/>
      <c r="J13" s="3"/>
      <c r="K13" s="3"/>
      <c r="L13" s="3" t="s">
        <v>83</v>
      </c>
      <c r="M13" s="3" t="s">
        <v>82</v>
      </c>
      <c r="N13" s="3">
        <v>100</v>
      </c>
      <c r="O13" s="3" t="s">
        <v>1035</v>
      </c>
      <c r="P13" s="3"/>
    </row>
    <row r="14" spans="1:18">
      <c r="A14" s="3" t="s">
        <v>1048</v>
      </c>
      <c r="B14" s="3" t="s">
        <v>119</v>
      </c>
      <c r="C14" s="3"/>
      <c r="D14" s="3"/>
      <c r="E14" s="3" t="s">
        <v>581</v>
      </c>
      <c r="F14" s="3"/>
      <c r="G14" s="3"/>
      <c r="H14" s="3"/>
      <c r="I14" s="3"/>
      <c r="J14" s="3"/>
      <c r="K14" s="3"/>
      <c r="L14" s="3" t="s">
        <v>83</v>
      </c>
      <c r="M14" s="3" t="s">
        <v>82</v>
      </c>
      <c r="N14" s="3">
        <v>100</v>
      </c>
      <c r="O14" s="3" t="s">
        <v>1035</v>
      </c>
      <c r="P14" s="3"/>
    </row>
    <row r="15" spans="1:18">
      <c r="A15" s="3" t="s">
        <v>1049</v>
      </c>
      <c r="B15" s="3" t="s">
        <v>119</v>
      </c>
      <c r="C15" s="3"/>
      <c r="D15" s="3"/>
      <c r="E15" s="3" t="s">
        <v>581</v>
      </c>
      <c r="F15" s="3"/>
      <c r="G15" s="3"/>
      <c r="H15" s="3"/>
      <c r="I15" s="3"/>
      <c r="J15" s="3"/>
      <c r="K15" s="3"/>
      <c r="L15" s="3" t="s">
        <v>83</v>
      </c>
      <c r="M15" s="3" t="s">
        <v>82</v>
      </c>
      <c r="N15" s="3">
        <v>100</v>
      </c>
      <c r="O15" s="3" t="s">
        <v>1035</v>
      </c>
      <c r="P15" s="3"/>
    </row>
    <row r="16" spans="1:18">
      <c r="A16" s="3" t="s">
        <v>1050</v>
      </c>
      <c r="B16" s="3" t="s">
        <v>119</v>
      </c>
      <c r="C16" s="3"/>
      <c r="D16" s="3"/>
      <c r="E16" s="3" t="s">
        <v>581</v>
      </c>
      <c r="F16" s="3"/>
      <c r="G16" s="3"/>
      <c r="H16" s="3"/>
      <c r="I16" s="3"/>
      <c r="J16" s="3"/>
      <c r="K16" s="3"/>
      <c r="L16" s="3" t="s">
        <v>83</v>
      </c>
      <c r="M16" s="3" t="s">
        <v>82</v>
      </c>
      <c r="N16" s="3">
        <v>100</v>
      </c>
      <c r="O16" s="3" t="s">
        <v>1035</v>
      </c>
      <c r="P16" s="3"/>
    </row>
    <row r="17" spans="1:16">
      <c r="A17" s="3" t="s">
        <v>1051</v>
      </c>
      <c r="B17" s="3" t="s">
        <v>119</v>
      </c>
      <c r="C17" s="3"/>
      <c r="D17" s="3"/>
      <c r="E17" s="3" t="s">
        <v>581</v>
      </c>
      <c r="F17" s="3"/>
      <c r="G17" s="3"/>
      <c r="H17" s="3"/>
      <c r="I17" s="3"/>
      <c r="J17" s="3"/>
      <c r="K17" s="3"/>
      <c r="L17" s="3" t="s">
        <v>83</v>
      </c>
      <c r="M17" s="3" t="s">
        <v>82</v>
      </c>
      <c r="N17" s="3">
        <v>100</v>
      </c>
      <c r="O17" s="3" t="s">
        <v>1035</v>
      </c>
      <c r="P17" s="3"/>
    </row>
    <row r="18" spans="1:16">
      <c r="A18" s="3" t="s">
        <v>1052</v>
      </c>
      <c r="B18" s="3" t="s">
        <v>119</v>
      </c>
      <c r="C18" s="3"/>
      <c r="D18" s="3"/>
      <c r="E18" s="3" t="s">
        <v>581</v>
      </c>
      <c r="F18" s="3"/>
      <c r="G18" s="3"/>
      <c r="H18" s="3"/>
      <c r="I18" s="3"/>
      <c r="J18" s="3"/>
      <c r="K18" s="3"/>
      <c r="L18" s="3" t="s">
        <v>83</v>
      </c>
      <c r="M18" s="3" t="s">
        <v>82</v>
      </c>
      <c r="N18" s="3">
        <v>100</v>
      </c>
      <c r="O18" s="3" t="s">
        <v>1035</v>
      </c>
      <c r="P18" s="3"/>
    </row>
    <row r="19" spans="1:16">
      <c r="A19" s="3" t="s">
        <v>1053</v>
      </c>
      <c r="B19" s="3" t="s">
        <v>119</v>
      </c>
      <c r="C19" s="3"/>
      <c r="D19" s="3"/>
      <c r="E19" s="3" t="s">
        <v>581</v>
      </c>
      <c r="F19" s="3"/>
      <c r="G19" s="3"/>
      <c r="H19" s="3"/>
      <c r="I19" s="3"/>
      <c r="J19" s="3"/>
      <c r="K19" s="3"/>
      <c r="L19" s="3" t="s">
        <v>83</v>
      </c>
      <c r="M19" s="3" t="s">
        <v>82</v>
      </c>
      <c r="N19" s="3">
        <v>100</v>
      </c>
      <c r="O19" s="3" t="s">
        <v>1035</v>
      </c>
      <c r="P19" s="3"/>
    </row>
    <row r="20" spans="1:16">
      <c r="A20" s="3" t="s">
        <v>1054</v>
      </c>
      <c r="B20" s="3" t="s">
        <v>119</v>
      </c>
      <c r="C20" s="3"/>
      <c r="D20" s="3"/>
      <c r="E20" s="3" t="s">
        <v>581</v>
      </c>
      <c r="F20" s="3"/>
      <c r="G20" s="3"/>
      <c r="H20" s="3"/>
      <c r="I20" s="3"/>
      <c r="J20" s="3"/>
      <c r="K20" s="3"/>
      <c r="L20" s="3" t="s">
        <v>83</v>
      </c>
      <c r="M20" s="3" t="s">
        <v>82</v>
      </c>
      <c r="N20" s="3">
        <v>100</v>
      </c>
      <c r="O20" s="3" t="s">
        <v>1035</v>
      </c>
      <c r="P20" s="3"/>
    </row>
    <row r="21" spans="1:16">
      <c r="A21" s="3" t="s">
        <v>1055</v>
      </c>
      <c r="B21" s="3" t="s">
        <v>119</v>
      </c>
      <c r="C21" s="3"/>
      <c r="D21" s="3"/>
      <c r="E21" s="3" t="s">
        <v>581</v>
      </c>
      <c r="F21" s="3"/>
      <c r="G21" s="3"/>
      <c r="H21" s="3"/>
      <c r="I21" s="3"/>
      <c r="J21" s="3"/>
      <c r="K21" s="3"/>
      <c r="L21" s="3" t="s">
        <v>83</v>
      </c>
      <c r="M21" s="3" t="s">
        <v>82</v>
      </c>
      <c r="N21" s="3">
        <v>100</v>
      </c>
      <c r="O21" s="3" t="s">
        <v>1035</v>
      </c>
      <c r="P21" s="3"/>
    </row>
    <row r="22" spans="1:16">
      <c r="A22" s="3" t="s">
        <v>1056</v>
      </c>
      <c r="B22" s="3" t="s">
        <v>119</v>
      </c>
      <c r="C22" s="3"/>
      <c r="D22" s="3"/>
      <c r="E22" s="3" t="s">
        <v>581</v>
      </c>
      <c r="F22" s="3"/>
      <c r="G22" s="3"/>
      <c r="H22" s="3"/>
      <c r="I22" s="3"/>
      <c r="J22" s="3"/>
      <c r="K22" s="3"/>
      <c r="L22" s="3" t="s">
        <v>83</v>
      </c>
      <c r="M22" s="3" t="s">
        <v>82</v>
      </c>
      <c r="N22" s="3">
        <v>100</v>
      </c>
      <c r="O22" s="3" t="s">
        <v>1035</v>
      </c>
      <c r="P22" s="3"/>
    </row>
    <row r="23" spans="1:16">
      <c r="A23" s="3" t="s">
        <v>1057</v>
      </c>
      <c r="B23" s="3" t="s">
        <v>119</v>
      </c>
      <c r="C23" s="3"/>
      <c r="D23" s="3"/>
      <c r="E23" s="3" t="s">
        <v>581</v>
      </c>
      <c r="F23" s="3"/>
      <c r="G23" s="3"/>
      <c r="H23" s="3"/>
      <c r="I23" s="3"/>
      <c r="J23" s="3"/>
      <c r="K23" s="3"/>
      <c r="L23" s="3" t="s">
        <v>83</v>
      </c>
      <c r="M23" s="3" t="s">
        <v>82</v>
      </c>
      <c r="N23" s="3">
        <v>100</v>
      </c>
      <c r="O23" s="3" t="s">
        <v>1035</v>
      </c>
      <c r="P23" s="3"/>
    </row>
    <row r="24" spans="1:16">
      <c r="A24" s="3" t="s">
        <v>1058</v>
      </c>
      <c r="B24" s="3" t="s">
        <v>119</v>
      </c>
      <c r="C24" s="3"/>
      <c r="D24" s="3"/>
      <c r="E24" s="3" t="s">
        <v>581</v>
      </c>
      <c r="F24" s="3"/>
      <c r="G24" s="3"/>
      <c r="H24" s="3"/>
      <c r="I24" s="3"/>
      <c r="J24" s="3"/>
      <c r="K24" s="3"/>
      <c r="L24" s="3" t="s">
        <v>83</v>
      </c>
      <c r="M24" s="3" t="s">
        <v>82</v>
      </c>
      <c r="N24" s="3">
        <v>100</v>
      </c>
      <c r="O24" s="3" t="s">
        <v>1035</v>
      </c>
      <c r="P24" s="3"/>
    </row>
    <row r="25" spans="1:16">
      <c r="A25" s="3" t="s">
        <v>1059</v>
      </c>
      <c r="B25" s="3" t="s">
        <v>119</v>
      </c>
      <c r="C25" s="3"/>
      <c r="D25" s="3"/>
      <c r="E25" s="3" t="s">
        <v>581</v>
      </c>
      <c r="F25" s="3"/>
      <c r="G25" s="3"/>
      <c r="H25" s="3"/>
      <c r="I25" s="3"/>
      <c r="J25" s="3"/>
      <c r="K25" s="3"/>
      <c r="L25" s="3" t="s">
        <v>83</v>
      </c>
      <c r="M25" s="3" t="s">
        <v>82</v>
      </c>
      <c r="N25" s="3">
        <v>100</v>
      </c>
      <c r="O25" s="3" t="s">
        <v>1035</v>
      </c>
      <c r="P25" s="3"/>
    </row>
    <row r="26" spans="1:16">
      <c r="A26" s="3" t="s">
        <v>1060</v>
      </c>
      <c r="B26" s="3" t="s">
        <v>119</v>
      </c>
      <c r="C26" s="3"/>
      <c r="D26" s="3"/>
      <c r="E26" s="3" t="s">
        <v>581</v>
      </c>
      <c r="F26" s="3"/>
      <c r="G26" s="3"/>
      <c r="H26" s="3"/>
      <c r="I26" s="3"/>
      <c r="J26" s="3"/>
      <c r="K26" s="3"/>
      <c r="L26" s="3" t="s">
        <v>83</v>
      </c>
      <c r="M26" s="3" t="s">
        <v>82</v>
      </c>
      <c r="N26" s="3">
        <v>100</v>
      </c>
      <c r="O26" s="3" t="s">
        <v>1035</v>
      </c>
      <c r="P26" s="3"/>
    </row>
    <row r="27" spans="1:16">
      <c r="A27" s="3" t="s">
        <v>1061</v>
      </c>
      <c r="B27" s="3" t="s">
        <v>119</v>
      </c>
      <c r="C27" s="3"/>
      <c r="D27" s="3"/>
      <c r="E27" s="3" t="s">
        <v>581</v>
      </c>
      <c r="F27" s="3"/>
      <c r="G27" s="3"/>
      <c r="H27" s="3"/>
      <c r="I27" s="3"/>
      <c r="J27" s="3"/>
      <c r="K27" s="3"/>
      <c r="L27" s="3" t="s">
        <v>83</v>
      </c>
      <c r="M27" s="3" t="s">
        <v>82</v>
      </c>
      <c r="N27" s="3">
        <v>100</v>
      </c>
      <c r="O27" s="3" t="s">
        <v>1035</v>
      </c>
      <c r="P27" s="3"/>
    </row>
    <row r="28" spans="1:16">
      <c r="A28" s="3" t="s">
        <v>1062</v>
      </c>
      <c r="B28" s="3" t="s">
        <v>119</v>
      </c>
      <c r="C28" s="3"/>
      <c r="D28" s="3"/>
      <c r="E28" s="3" t="s">
        <v>581</v>
      </c>
      <c r="F28" s="3"/>
      <c r="G28" s="3"/>
      <c r="H28" s="3"/>
      <c r="I28" s="3"/>
      <c r="J28" s="3"/>
      <c r="K28" s="3"/>
      <c r="L28" s="3" t="s">
        <v>83</v>
      </c>
      <c r="M28" s="3" t="s">
        <v>82</v>
      </c>
      <c r="N28" s="3">
        <v>100</v>
      </c>
      <c r="O28" s="3" t="s">
        <v>1035</v>
      </c>
      <c r="P28" s="3"/>
    </row>
    <row r="29" spans="1:16">
      <c r="A29" s="3" t="s">
        <v>1063</v>
      </c>
      <c r="B29" s="3" t="s">
        <v>119</v>
      </c>
      <c r="C29" s="3"/>
      <c r="D29" s="3"/>
      <c r="E29" s="3" t="s">
        <v>581</v>
      </c>
      <c r="F29" s="3"/>
      <c r="G29" s="3"/>
      <c r="H29" s="3"/>
      <c r="I29" s="3"/>
      <c r="J29" s="3"/>
      <c r="K29" s="3"/>
      <c r="L29" s="3" t="s">
        <v>83</v>
      </c>
      <c r="M29" s="3" t="s">
        <v>82</v>
      </c>
      <c r="N29" s="3">
        <v>100</v>
      </c>
      <c r="O29" s="3" t="s">
        <v>1035</v>
      </c>
      <c r="P29" s="3"/>
    </row>
    <row r="30" spans="1:16">
      <c r="A30" s="3" t="s">
        <v>1064</v>
      </c>
      <c r="B30" s="3" t="s">
        <v>119</v>
      </c>
      <c r="C30" s="3"/>
      <c r="D30" s="3"/>
      <c r="E30" s="3" t="s">
        <v>581</v>
      </c>
      <c r="F30" s="3"/>
      <c r="G30" s="3"/>
      <c r="H30" s="3"/>
      <c r="I30" s="3"/>
      <c r="J30" s="3"/>
      <c r="K30" s="3"/>
      <c r="L30" s="3" t="s">
        <v>83</v>
      </c>
      <c r="M30" s="3" t="s">
        <v>82</v>
      </c>
      <c r="N30" s="3">
        <v>100</v>
      </c>
      <c r="O30" s="3" t="s">
        <v>1035</v>
      </c>
      <c r="P30" s="3"/>
    </row>
    <row r="31" spans="1:16">
      <c r="A31" s="3" t="s">
        <v>1065</v>
      </c>
      <c r="B31" s="3" t="s">
        <v>119</v>
      </c>
      <c r="C31" s="3"/>
      <c r="D31" s="3"/>
      <c r="E31" s="3" t="s">
        <v>581</v>
      </c>
      <c r="F31" s="3"/>
      <c r="G31" s="3"/>
      <c r="H31" s="3"/>
      <c r="I31" s="3"/>
      <c r="J31" s="3"/>
      <c r="K31" s="3"/>
      <c r="L31" s="3" t="s">
        <v>83</v>
      </c>
      <c r="M31" s="3" t="s">
        <v>82</v>
      </c>
      <c r="N31" s="3">
        <v>100</v>
      </c>
      <c r="O31" s="3" t="s">
        <v>1035</v>
      </c>
      <c r="P31" s="3"/>
    </row>
    <row r="32" spans="1:16">
      <c r="A32" s="3" t="s">
        <v>1066</v>
      </c>
      <c r="B32" s="3" t="s">
        <v>119</v>
      </c>
      <c r="C32" s="3"/>
      <c r="D32" s="3"/>
      <c r="E32" s="3" t="s">
        <v>581</v>
      </c>
      <c r="F32" s="3"/>
      <c r="G32" s="3"/>
      <c r="H32" s="3"/>
      <c r="I32" s="3"/>
      <c r="J32" s="3"/>
      <c r="K32" s="3"/>
      <c r="L32" s="3" t="s">
        <v>83</v>
      </c>
      <c r="M32" s="3" t="s">
        <v>82</v>
      </c>
      <c r="N32" s="3">
        <v>100</v>
      </c>
      <c r="O32" s="3" t="s">
        <v>1035</v>
      </c>
      <c r="P32" s="3"/>
    </row>
    <row r="33" spans="1:16">
      <c r="A33" s="3" t="s">
        <v>1067</v>
      </c>
      <c r="B33" s="3" t="s">
        <v>119</v>
      </c>
      <c r="C33" s="3"/>
      <c r="D33" s="3"/>
      <c r="E33" s="3" t="s">
        <v>581</v>
      </c>
      <c r="F33" s="3"/>
      <c r="G33" s="3"/>
      <c r="H33" s="3"/>
      <c r="I33" s="3"/>
      <c r="J33" s="3"/>
      <c r="K33" s="3"/>
      <c r="L33" s="3" t="s">
        <v>83</v>
      </c>
      <c r="M33" s="3" t="s">
        <v>82</v>
      </c>
      <c r="N33" s="3">
        <v>100</v>
      </c>
      <c r="O33" s="3" t="s">
        <v>1035</v>
      </c>
      <c r="P33" s="3"/>
    </row>
    <row r="34" spans="1:16">
      <c r="A34" s="3" t="s">
        <v>1068</v>
      </c>
      <c r="B34" s="3" t="s">
        <v>119</v>
      </c>
      <c r="C34" s="3"/>
      <c r="D34" s="3"/>
      <c r="E34" s="3" t="s">
        <v>581</v>
      </c>
      <c r="F34" s="3"/>
      <c r="G34" s="3"/>
      <c r="H34" s="3"/>
      <c r="I34" s="3"/>
      <c r="J34" s="3"/>
      <c r="K34" s="3"/>
      <c r="L34" s="3" t="s">
        <v>83</v>
      </c>
      <c r="M34" s="3" t="s">
        <v>82</v>
      </c>
      <c r="N34" s="3">
        <v>100</v>
      </c>
      <c r="O34" s="3" t="s">
        <v>1035</v>
      </c>
      <c r="P34" s="3"/>
    </row>
  </sheetData>
  <mergeCells count="2">
    <mergeCell ref="A1:R1"/>
    <mergeCell ref="A2:R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A00-000000000000}">
          <x14:formula1>
            <xm:f>Lists!$K$5:$K$6</xm:f>
          </x14:formula1>
          <xm:sqref>B5:B34</xm:sqref>
        </x14:dataValidation>
        <x14:dataValidation type="list" xr:uid="{00000000-0002-0000-0A00-000001000000}">
          <x14:formula1>
            <xm:f>Lists!$F$5:$F$17</xm:f>
          </x14:formula1>
          <xm:sqref>C5:C34</xm:sqref>
        </x14:dataValidation>
        <x14:dataValidation type="list" xr:uid="{00000000-0002-0000-0A00-000002000000}">
          <x14:formula1>
            <xm:f>Lists!$C$5:$C$36</xm:f>
          </x14:formula1>
          <xm:sqref>F5:J34</xm:sqref>
        </x14:dataValidation>
        <x14:dataValidation type="list" xr:uid="{00000000-0002-0000-0A00-000007000000}">
          <x14:formula1>
            <xm:f>Lists!$E$5:$E$16</xm:f>
          </x14:formula1>
          <xm:sqref>K5:K34</xm:sqref>
        </x14:dataValidation>
        <x14:dataValidation type="list" xr:uid="{00000000-0002-0000-0A00-000008000000}">
          <x14:formula1>
            <xm:f>Lists!$I$5:$I$9</xm:f>
          </x14:formula1>
          <xm:sqref>L5:L34</xm:sqref>
        </x14:dataValidation>
        <x14:dataValidation type="list" xr:uid="{00000000-0002-0000-0A00-000009000000}">
          <x14:formula1>
            <xm:f>Lists!$D$5:$D$22</xm:f>
          </x14:formula1>
          <xm:sqref>M5:M34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8"/>
  <sheetViews>
    <sheetView workbookViewId="0">
      <selection sqref="A1:F1"/>
    </sheetView>
  </sheetViews>
  <sheetFormatPr defaultRowHeight="13.8"/>
  <cols>
    <col min="1" max="2" width="22" customWidth="1"/>
    <col min="3" max="3" width="18" customWidth="1"/>
    <col min="4" max="4" width="54" customWidth="1"/>
    <col min="5" max="5" width="14" customWidth="1"/>
    <col min="6" max="6" width="56" customWidth="1"/>
  </cols>
  <sheetData>
    <row r="1" spans="1:6" ht="22.35" customHeight="1">
      <c r="A1" s="21" t="s">
        <v>1069</v>
      </c>
      <c r="B1" s="22"/>
      <c r="C1" s="22"/>
      <c r="D1" s="22"/>
      <c r="E1" s="22"/>
      <c r="F1" s="22"/>
    </row>
    <row r="2" spans="1:6" ht="22.35" customHeight="1">
      <c r="A2" s="23" t="s">
        <v>1070</v>
      </c>
      <c r="B2" s="22"/>
      <c r="C2" s="22"/>
      <c r="D2" s="22"/>
      <c r="E2" s="22"/>
      <c r="F2" s="22"/>
    </row>
    <row r="4" spans="1:6">
      <c r="A4" s="7" t="s">
        <v>1071</v>
      </c>
      <c r="B4" s="7" t="s">
        <v>1072</v>
      </c>
      <c r="C4" s="7" t="s">
        <v>1073</v>
      </c>
      <c r="D4" s="7" t="s">
        <v>1074</v>
      </c>
      <c r="E4" s="7" t="s">
        <v>841</v>
      </c>
      <c r="F4" s="7" t="s">
        <v>1075</v>
      </c>
    </row>
    <row r="5" spans="1:6">
      <c r="A5" s="3" t="s">
        <v>576</v>
      </c>
      <c r="B5" s="3" t="s">
        <v>80</v>
      </c>
      <c r="C5" s="3" t="s">
        <v>581</v>
      </c>
      <c r="D5" s="3" t="s">
        <v>1076</v>
      </c>
      <c r="E5" s="3" t="s">
        <v>594</v>
      </c>
      <c r="F5" s="3" t="s">
        <v>1077</v>
      </c>
    </row>
    <row r="6" spans="1:6">
      <c r="A6" s="3" t="s">
        <v>576</v>
      </c>
      <c r="B6" s="3" t="s">
        <v>89</v>
      </c>
      <c r="C6" s="3" t="s">
        <v>580</v>
      </c>
      <c r="D6" s="3" t="s">
        <v>1078</v>
      </c>
      <c r="E6" s="3" t="s">
        <v>615</v>
      </c>
      <c r="F6" s="3" t="s">
        <v>1079</v>
      </c>
    </row>
    <row r="7" spans="1:6">
      <c r="A7" s="3" t="s">
        <v>624</v>
      </c>
      <c r="B7" s="3" t="s">
        <v>631</v>
      </c>
      <c r="C7" s="3" t="s">
        <v>1080</v>
      </c>
      <c r="D7" s="3" t="s">
        <v>1081</v>
      </c>
      <c r="E7" s="3" t="s">
        <v>615</v>
      </c>
      <c r="F7" s="3" t="s">
        <v>1082</v>
      </c>
    </row>
    <row r="8" spans="1:6">
      <c r="A8" s="3" t="s">
        <v>631</v>
      </c>
      <c r="B8" s="3" t="s">
        <v>612</v>
      </c>
      <c r="C8" s="3" t="s">
        <v>1083</v>
      </c>
      <c r="D8" s="3" t="s">
        <v>1084</v>
      </c>
      <c r="E8" s="3" t="s">
        <v>683</v>
      </c>
      <c r="F8" s="3" t="s">
        <v>1085</v>
      </c>
    </row>
    <row r="9" spans="1:6">
      <c r="A9" s="3" t="s">
        <v>597</v>
      </c>
      <c r="B9" s="3" t="s">
        <v>89</v>
      </c>
      <c r="C9" s="3" t="s">
        <v>1083</v>
      </c>
      <c r="D9" s="3" t="s">
        <v>1086</v>
      </c>
      <c r="E9" s="3" t="s">
        <v>600</v>
      </c>
      <c r="F9" s="3" t="s">
        <v>1087</v>
      </c>
    </row>
    <row r="10" spans="1:6">
      <c r="A10" s="3" t="s">
        <v>606</v>
      </c>
      <c r="B10" s="3" t="s">
        <v>89</v>
      </c>
      <c r="C10" s="3" t="s">
        <v>1083</v>
      </c>
      <c r="D10" s="3" t="s">
        <v>1088</v>
      </c>
      <c r="E10" s="3" t="s">
        <v>600</v>
      </c>
      <c r="F10" s="3" t="s">
        <v>1089</v>
      </c>
    </row>
    <row r="11" spans="1:6">
      <c r="A11" s="3" t="s">
        <v>98</v>
      </c>
      <c r="B11" s="3" t="s">
        <v>694</v>
      </c>
      <c r="C11" s="3" t="s">
        <v>581</v>
      </c>
      <c r="D11" s="3" t="s">
        <v>1090</v>
      </c>
      <c r="E11" s="3" t="s">
        <v>594</v>
      </c>
      <c r="F11" s="3" t="s">
        <v>1091</v>
      </c>
    </row>
    <row r="12" spans="1:6">
      <c r="A12" s="3" t="s">
        <v>113</v>
      </c>
      <c r="B12" s="3" t="s">
        <v>89</v>
      </c>
      <c r="C12" s="3" t="s">
        <v>1092</v>
      </c>
      <c r="D12" s="3" t="s">
        <v>1093</v>
      </c>
      <c r="E12" s="3" t="s">
        <v>683</v>
      </c>
      <c r="F12" s="3" t="s">
        <v>1094</v>
      </c>
    </row>
    <row r="13" spans="1:6">
      <c r="A13" s="3" t="s">
        <v>113</v>
      </c>
      <c r="B13" s="3" t="s">
        <v>597</v>
      </c>
      <c r="C13" s="3" t="s">
        <v>1092</v>
      </c>
      <c r="D13" s="3" t="s">
        <v>1095</v>
      </c>
      <c r="E13" s="3" t="s">
        <v>683</v>
      </c>
      <c r="F13" s="3" t="s">
        <v>1094</v>
      </c>
    </row>
    <row r="14" spans="1:6">
      <c r="A14" s="3" t="s">
        <v>113</v>
      </c>
      <c r="B14" s="3" t="s">
        <v>612</v>
      </c>
      <c r="C14" s="3" t="s">
        <v>1092</v>
      </c>
      <c r="D14" s="3" t="s">
        <v>1096</v>
      </c>
      <c r="E14" s="3" t="s">
        <v>683</v>
      </c>
      <c r="F14" s="3" t="s">
        <v>1094</v>
      </c>
    </row>
    <row r="15" spans="1:6">
      <c r="A15" s="3" t="s">
        <v>80</v>
      </c>
      <c r="B15" s="3" t="s">
        <v>209</v>
      </c>
      <c r="C15" s="3" t="s">
        <v>581</v>
      </c>
      <c r="D15" s="3" t="s">
        <v>1097</v>
      </c>
      <c r="E15" s="3" t="s">
        <v>594</v>
      </c>
      <c r="F15" s="3" t="s">
        <v>1098</v>
      </c>
    </row>
    <row r="16" spans="1:6">
      <c r="A16" s="3" t="s">
        <v>209</v>
      </c>
      <c r="B16" s="3" t="s">
        <v>89</v>
      </c>
      <c r="C16" s="3" t="s">
        <v>581</v>
      </c>
      <c r="D16" s="3" t="s">
        <v>1099</v>
      </c>
      <c r="E16" s="3" t="s">
        <v>600</v>
      </c>
      <c r="F16" s="3" t="s">
        <v>1100</v>
      </c>
    </row>
    <row r="17" spans="1:6">
      <c r="A17" s="3" t="s">
        <v>643</v>
      </c>
      <c r="B17" s="3" t="s">
        <v>646</v>
      </c>
      <c r="C17" s="3" t="s">
        <v>581</v>
      </c>
      <c r="D17" s="3" t="s">
        <v>1101</v>
      </c>
      <c r="E17" s="3" t="s">
        <v>594</v>
      </c>
      <c r="F17" s="3" t="s">
        <v>1102</v>
      </c>
    </row>
    <row r="18" spans="1:6">
      <c r="A18" s="3" t="s">
        <v>999</v>
      </c>
      <c r="B18" s="3" t="s">
        <v>643</v>
      </c>
      <c r="C18" s="3" t="s">
        <v>581</v>
      </c>
      <c r="D18" s="3" t="s">
        <v>1103</v>
      </c>
      <c r="E18" s="3" t="s">
        <v>594</v>
      </c>
      <c r="F18" s="3" t="s">
        <v>1104</v>
      </c>
    </row>
    <row r="19" spans="1:6">
      <c r="A19" s="3" t="s">
        <v>415</v>
      </c>
      <c r="B19" s="3" t="s">
        <v>646</v>
      </c>
      <c r="C19" s="3" t="s">
        <v>581</v>
      </c>
      <c r="D19" s="3" t="s">
        <v>1105</v>
      </c>
      <c r="E19" s="3" t="s">
        <v>594</v>
      </c>
      <c r="F19" s="3" t="s">
        <v>1106</v>
      </c>
    </row>
    <row r="20" spans="1:6">
      <c r="A20" s="3" t="s">
        <v>649</v>
      </c>
      <c r="B20" s="3" t="s">
        <v>80</v>
      </c>
      <c r="C20" s="3" t="s">
        <v>581</v>
      </c>
      <c r="D20" s="3" t="s">
        <v>1107</v>
      </c>
      <c r="E20" s="3" t="s">
        <v>594</v>
      </c>
      <c r="F20" s="3" t="s">
        <v>1108</v>
      </c>
    </row>
    <row r="21" spans="1:6">
      <c r="A21" s="3" t="s">
        <v>653</v>
      </c>
      <c r="B21" s="3" t="s">
        <v>80</v>
      </c>
      <c r="C21" s="3" t="s">
        <v>581</v>
      </c>
      <c r="D21" s="3" t="s">
        <v>1109</v>
      </c>
      <c r="E21" s="3" t="s">
        <v>594</v>
      </c>
      <c r="F21" s="3" t="s">
        <v>1108</v>
      </c>
    </row>
    <row r="22" spans="1:6">
      <c r="A22" s="3" t="s">
        <v>680</v>
      </c>
      <c r="B22" s="3" t="s">
        <v>612</v>
      </c>
      <c r="C22" s="3" t="s">
        <v>580</v>
      </c>
      <c r="D22" s="3" t="s">
        <v>1110</v>
      </c>
      <c r="E22" s="3" t="s">
        <v>683</v>
      </c>
      <c r="F22" s="3" t="s">
        <v>1111</v>
      </c>
    </row>
    <row r="23" spans="1:6" ht="27.6">
      <c r="A23" s="3" t="s">
        <v>674</v>
      </c>
      <c r="B23" s="3" t="s">
        <v>1112</v>
      </c>
      <c r="C23" s="3" t="s">
        <v>1092</v>
      </c>
      <c r="D23" s="3" t="s">
        <v>1113</v>
      </c>
      <c r="E23" s="3" t="s">
        <v>683</v>
      </c>
      <c r="F23" s="3" t="s">
        <v>1114</v>
      </c>
    </row>
    <row r="24" spans="1:6">
      <c r="A24" s="3" t="s">
        <v>663</v>
      </c>
      <c r="B24" s="3" t="s">
        <v>1115</v>
      </c>
      <c r="C24" s="3" t="s">
        <v>1083</v>
      </c>
      <c r="D24" s="3" t="s">
        <v>1116</v>
      </c>
      <c r="E24" s="3" t="s">
        <v>615</v>
      </c>
      <c r="F24" s="3" t="s">
        <v>1117</v>
      </c>
    </row>
    <row r="25" spans="1:6">
      <c r="A25" s="3" t="s">
        <v>666</v>
      </c>
      <c r="B25" s="3" t="s">
        <v>612</v>
      </c>
      <c r="C25" s="3" t="s">
        <v>1080</v>
      </c>
      <c r="D25" s="3" t="s">
        <v>1118</v>
      </c>
      <c r="E25" s="3" t="s">
        <v>615</v>
      </c>
      <c r="F25" s="3" t="s">
        <v>1119</v>
      </c>
    </row>
    <row r="26" spans="1:6">
      <c r="A26" s="3" t="s">
        <v>627</v>
      </c>
      <c r="B26" s="3" t="s">
        <v>663</v>
      </c>
      <c r="C26" s="3" t="s">
        <v>1080</v>
      </c>
      <c r="D26" s="3" t="s">
        <v>1120</v>
      </c>
      <c r="E26" s="3" t="s">
        <v>615</v>
      </c>
      <c r="F26" s="3" t="s">
        <v>1121</v>
      </c>
    </row>
    <row r="27" spans="1:6">
      <c r="A27" s="3" t="s">
        <v>694</v>
      </c>
      <c r="B27" s="3" t="s">
        <v>1122</v>
      </c>
      <c r="C27" s="3" t="s">
        <v>1123</v>
      </c>
      <c r="D27" s="3" t="s">
        <v>1124</v>
      </c>
      <c r="E27" s="3" t="s">
        <v>594</v>
      </c>
      <c r="F27" s="3" t="s">
        <v>1125</v>
      </c>
    </row>
    <row r="28" spans="1:6">
      <c r="A28" s="3" t="s">
        <v>707</v>
      </c>
      <c r="B28" s="3" t="s">
        <v>1126</v>
      </c>
      <c r="C28" s="3" t="s">
        <v>581</v>
      </c>
      <c r="D28" s="3" t="s">
        <v>1127</v>
      </c>
      <c r="E28" s="3" t="s">
        <v>594</v>
      </c>
      <c r="F28" s="3" t="s">
        <v>1128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4"/>
  <sheetViews>
    <sheetView workbookViewId="0">
      <selection sqref="A1:G1"/>
    </sheetView>
  </sheetViews>
  <sheetFormatPr defaultRowHeight="13.8"/>
  <cols>
    <col min="1" max="1" width="16" customWidth="1"/>
    <col min="2" max="2" width="26" customWidth="1"/>
    <col min="3" max="3" width="24" customWidth="1"/>
    <col min="4" max="4" width="14" customWidth="1"/>
    <col min="5" max="5" width="54" customWidth="1"/>
    <col min="6" max="7" width="42" customWidth="1"/>
  </cols>
  <sheetData>
    <row r="1" spans="1:7" ht="22.35" customHeight="1">
      <c r="A1" s="21" t="s">
        <v>1129</v>
      </c>
      <c r="B1" s="22"/>
      <c r="C1" s="22"/>
      <c r="D1" s="22"/>
      <c r="E1" s="22"/>
      <c r="F1" s="22"/>
      <c r="G1" s="22"/>
    </row>
    <row r="2" spans="1:7" ht="22.35" customHeight="1">
      <c r="A2" s="23" t="s">
        <v>1130</v>
      </c>
      <c r="B2" s="22"/>
      <c r="C2" s="22"/>
      <c r="D2" s="22"/>
      <c r="E2" s="22"/>
      <c r="F2" s="22"/>
      <c r="G2" s="22"/>
    </row>
    <row r="4" spans="1:7">
      <c r="A4" s="6" t="s">
        <v>1131</v>
      </c>
      <c r="B4" s="6" t="s">
        <v>1132</v>
      </c>
      <c r="C4" s="6" t="s">
        <v>175</v>
      </c>
      <c r="D4" s="6" t="s">
        <v>912</v>
      </c>
      <c r="E4" s="6" t="s">
        <v>160</v>
      </c>
      <c r="F4" s="6" t="s">
        <v>1133</v>
      </c>
      <c r="G4" s="6" t="s">
        <v>1134</v>
      </c>
    </row>
    <row r="5" spans="1:7">
      <c r="A5" s="3" t="s">
        <v>1135</v>
      </c>
      <c r="B5" s="3" t="s">
        <v>1136</v>
      </c>
      <c r="C5" s="3" t="s">
        <v>1137</v>
      </c>
      <c r="D5" s="3" t="s">
        <v>683</v>
      </c>
      <c r="E5" s="3" t="s">
        <v>1138</v>
      </c>
      <c r="F5" s="3" t="s">
        <v>1139</v>
      </c>
      <c r="G5" s="3" t="s">
        <v>1140</v>
      </c>
    </row>
    <row r="6" spans="1:7">
      <c r="A6" s="3" t="s">
        <v>1141</v>
      </c>
      <c r="B6" s="3" t="s">
        <v>1142</v>
      </c>
      <c r="C6" s="3" t="s">
        <v>1137</v>
      </c>
      <c r="D6" s="3" t="s">
        <v>683</v>
      </c>
      <c r="E6" s="3" t="s">
        <v>1143</v>
      </c>
      <c r="F6" s="3" t="s">
        <v>1144</v>
      </c>
      <c r="G6" s="3" t="s">
        <v>1145</v>
      </c>
    </row>
    <row r="7" spans="1:7">
      <c r="A7" s="3" t="s">
        <v>1146</v>
      </c>
      <c r="B7" s="3" t="s">
        <v>1147</v>
      </c>
      <c r="C7" s="3" t="s">
        <v>1137</v>
      </c>
      <c r="D7" s="3" t="s">
        <v>683</v>
      </c>
      <c r="E7" s="3" t="s">
        <v>1148</v>
      </c>
      <c r="F7" s="3" t="s">
        <v>1149</v>
      </c>
      <c r="G7" s="3" t="s">
        <v>1150</v>
      </c>
    </row>
    <row r="8" spans="1:7">
      <c r="A8" s="3" t="s">
        <v>1151</v>
      </c>
      <c r="B8" s="3" t="s">
        <v>1152</v>
      </c>
      <c r="C8" s="3" t="s">
        <v>1137</v>
      </c>
      <c r="D8" s="3" t="s">
        <v>615</v>
      </c>
      <c r="E8" s="3" t="s">
        <v>1153</v>
      </c>
      <c r="F8" s="3" t="s">
        <v>1154</v>
      </c>
      <c r="G8" s="3" t="s">
        <v>1155</v>
      </c>
    </row>
    <row r="9" spans="1:7">
      <c r="A9" s="3" t="s">
        <v>1156</v>
      </c>
      <c r="B9" s="3" t="s">
        <v>1157</v>
      </c>
      <c r="C9" s="3" t="s">
        <v>1158</v>
      </c>
      <c r="D9" s="3" t="s">
        <v>600</v>
      </c>
      <c r="E9" s="3" t="s">
        <v>1159</v>
      </c>
      <c r="F9" s="3" t="s">
        <v>1160</v>
      </c>
      <c r="G9" s="3" t="s">
        <v>1161</v>
      </c>
    </row>
    <row r="10" spans="1:7">
      <c r="A10" s="3" t="s">
        <v>1162</v>
      </c>
      <c r="B10" s="3" t="s">
        <v>1163</v>
      </c>
      <c r="C10" s="3" t="s">
        <v>1158</v>
      </c>
      <c r="D10" s="3" t="s">
        <v>600</v>
      </c>
      <c r="E10" s="3" t="s">
        <v>1164</v>
      </c>
      <c r="F10" s="3" t="s">
        <v>1165</v>
      </c>
      <c r="G10" s="3" t="s">
        <v>1166</v>
      </c>
    </row>
    <row r="11" spans="1:7">
      <c r="A11" s="3" t="s">
        <v>1167</v>
      </c>
      <c r="B11" s="3" t="s">
        <v>1168</v>
      </c>
      <c r="C11" s="3" t="s">
        <v>1158</v>
      </c>
      <c r="D11" s="3" t="s">
        <v>600</v>
      </c>
      <c r="E11" s="3" t="s">
        <v>1169</v>
      </c>
      <c r="F11" s="3" t="s">
        <v>1170</v>
      </c>
      <c r="G11" s="3" t="s">
        <v>1171</v>
      </c>
    </row>
    <row r="12" spans="1:7">
      <c r="A12" s="3" t="s">
        <v>1172</v>
      </c>
      <c r="B12" s="3" t="s">
        <v>1173</v>
      </c>
      <c r="C12" s="3" t="s">
        <v>1174</v>
      </c>
      <c r="D12" s="3" t="s">
        <v>600</v>
      </c>
      <c r="E12" s="3" t="s">
        <v>1175</v>
      </c>
      <c r="F12" s="3" t="s">
        <v>1176</v>
      </c>
      <c r="G12" s="3" t="s">
        <v>1177</v>
      </c>
    </row>
    <row r="13" spans="1:7">
      <c r="A13" s="3" t="s">
        <v>1178</v>
      </c>
      <c r="B13" s="3" t="s">
        <v>1179</v>
      </c>
      <c r="C13" s="3" t="s">
        <v>1174</v>
      </c>
      <c r="D13" s="3" t="s">
        <v>594</v>
      </c>
      <c r="E13" s="3" t="s">
        <v>1180</v>
      </c>
      <c r="F13" s="3" t="s">
        <v>1181</v>
      </c>
      <c r="G13" s="3" t="s">
        <v>1182</v>
      </c>
    </row>
    <row r="14" spans="1:7">
      <c r="A14" s="3" t="s">
        <v>1183</v>
      </c>
      <c r="B14" s="3" t="s">
        <v>1184</v>
      </c>
      <c r="C14" s="3" t="s">
        <v>1185</v>
      </c>
      <c r="D14" s="3" t="s">
        <v>615</v>
      </c>
      <c r="E14" s="3" t="s">
        <v>1186</v>
      </c>
      <c r="F14" s="3" t="s">
        <v>1187</v>
      </c>
      <c r="G14" s="3" t="s">
        <v>1188</v>
      </c>
    </row>
    <row r="15" spans="1:7">
      <c r="A15" s="3" t="s">
        <v>1189</v>
      </c>
      <c r="B15" s="3" t="s">
        <v>1190</v>
      </c>
      <c r="C15" s="3" t="s">
        <v>1185</v>
      </c>
      <c r="D15" s="3" t="s">
        <v>600</v>
      </c>
      <c r="E15" s="3" t="s">
        <v>1191</v>
      </c>
      <c r="F15" s="3" t="s">
        <v>1192</v>
      </c>
      <c r="G15" s="3" t="s">
        <v>1193</v>
      </c>
    </row>
    <row r="16" spans="1:7">
      <c r="A16" s="3" t="s">
        <v>1194</v>
      </c>
      <c r="B16" s="3" t="s">
        <v>106</v>
      </c>
      <c r="C16" s="3" t="s">
        <v>1185</v>
      </c>
      <c r="D16" s="3" t="s">
        <v>615</v>
      </c>
      <c r="E16" s="3" t="s">
        <v>1195</v>
      </c>
      <c r="F16" s="3" t="s">
        <v>1196</v>
      </c>
      <c r="G16" s="3" t="s">
        <v>1197</v>
      </c>
    </row>
    <row r="17" spans="1:7">
      <c r="A17" s="3" t="s">
        <v>1198</v>
      </c>
      <c r="B17" s="3" t="s">
        <v>1199</v>
      </c>
      <c r="C17" s="3" t="s">
        <v>1185</v>
      </c>
      <c r="D17" s="3" t="s">
        <v>600</v>
      </c>
      <c r="E17" s="3" t="s">
        <v>1200</v>
      </c>
      <c r="F17" s="3" t="s">
        <v>1201</v>
      </c>
      <c r="G17" s="3" t="s">
        <v>1202</v>
      </c>
    </row>
    <row r="18" spans="1:7">
      <c r="A18" s="3" t="s">
        <v>1203</v>
      </c>
      <c r="B18" s="3" t="s">
        <v>1115</v>
      </c>
      <c r="C18" s="3" t="s">
        <v>664</v>
      </c>
      <c r="D18" s="3" t="s">
        <v>615</v>
      </c>
      <c r="E18" s="3" t="s">
        <v>1204</v>
      </c>
      <c r="F18" s="3" t="s">
        <v>1205</v>
      </c>
      <c r="G18" s="3" t="s">
        <v>1206</v>
      </c>
    </row>
    <row r="19" spans="1:7">
      <c r="A19" s="3" t="s">
        <v>1207</v>
      </c>
      <c r="B19" s="3" t="s">
        <v>1208</v>
      </c>
      <c r="C19" s="3" t="s">
        <v>1174</v>
      </c>
      <c r="D19" s="3" t="s">
        <v>600</v>
      </c>
      <c r="E19" s="3" t="s">
        <v>1209</v>
      </c>
      <c r="F19" s="3" t="s">
        <v>1210</v>
      </c>
      <c r="G19" s="3" t="s">
        <v>1211</v>
      </c>
    </row>
    <row r="20" spans="1:7">
      <c r="A20" s="3" t="s">
        <v>1212</v>
      </c>
      <c r="B20" s="3" t="s">
        <v>1213</v>
      </c>
      <c r="C20" s="3" t="s">
        <v>1214</v>
      </c>
      <c r="D20" s="3" t="s">
        <v>600</v>
      </c>
      <c r="E20" s="3" t="s">
        <v>1215</v>
      </c>
      <c r="F20" s="3" t="s">
        <v>1216</v>
      </c>
      <c r="G20" s="3" t="s">
        <v>1217</v>
      </c>
    </row>
    <row r="21" spans="1:7">
      <c r="A21" s="3" t="s">
        <v>1218</v>
      </c>
      <c r="B21" s="3" t="s">
        <v>1219</v>
      </c>
      <c r="C21" s="3" t="s">
        <v>1214</v>
      </c>
      <c r="D21" s="3" t="s">
        <v>600</v>
      </c>
      <c r="E21" s="3" t="s">
        <v>1220</v>
      </c>
      <c r="F21" s="3" t="s">
        <v>1221</v>
      </c>
      <c r="G21" s="3" t="s">
        <v>1222</v>
      </c>
    </row>
    <row r="22" spans="1:7">
      <c r="A22" s="3" t="s">
        <v>1223</v>
      </c>
      <c r="B22" s="3" t="s">
        <v>1224</v>
      </c>
      <c r="C22" s="3" t="s">
        <v>1214</v>
      </c>
      <c r="D22" s="3" t="s">
        <v>600</v>
      </c>
      <c r="E22" s="3" t="s">
        <v>1225</v>
      </c>
      <c r="F22" s="3" t="s">
        <v>1226</v>
      </c>
      <c r="G22" s="3" t="s">
        <v>1227</v>
      </c>
    </row>
    <row r="23" spans="1:7">
      <c r="A23" s="3" t="s">
        <v>1228</v>
      </c>
      <c r="B23" s="3" t="s">
        <v>1229</v>
      </c>
      <c r="C23" s="3" t="s">
        <v>1214</v>
      </c>
      <c r="D23" s="3" t="s">
        <v>600</v>
      </c>
      <c r="E23" s="3" t="s">
        <v>1230</v>
      </c>
      <c r="F23" s="3" t="s">
        <v>1231</v>
      </c>
      <c r="G23" s="3" t="s">
        <v>1232</v>
      </c>
    </row>
    <row r="24" spans="1:7">
      <c r="A24" s="3" t="s">
        <v>1233</v>
      </c>
      <c r="B24" s="3" t="s">
        <v>1234</v>
      </c>
      <c r="C24" s="3" t="s">
        <v>53</v>
      </c>
      <c r="D24" s="3" t="s">
        <v>615</v>
      </c>
      <c r="E24" s="3" t="s">
        <v>1235</v>
      </c>
      <c r="F24" s="3" t="s">
        <v>1236</v>
      </c>
      <c r="G24" s="3" t="s">
        <v>1237</v>
      </c>
    </row>
    <row r="25" spans="1:7">
      <c r="A25" s="3" t="s">
        <v>1238</v>
      </c>
      <c r="B25" s="3" t="s">
        <v>1239</v>
      </c>
      <c r="C25" s="3" t="s">
        <v>53</v>
      </c>
      <c r="D25" s="3" t="s">
        <v>600</v>
      </c>
      <c r="E25" s="3" t="s">
        <v>1240</v>
      </c>
      <c r="F25" s="3" t="s">
        <v>1241</v>
      </c>
      <c r="G25" s="3" t="s">
        <v>1242</v>
      </c>
    </row>
    <row r="26" spans="1:7">
      <c r="A26" s="3" t="s">
        <v>1243</v>
      </c>
      <c r="B26" s="3" t="s">
        <v>1244</v>
      </c>
      <c r="C26" s="3" t="s">
        <v>1245</v>
      </c>
      <c r="D26" s="3" t="s">
        <v>600</v>
      </c>
      <c r="E26" s="3" t="s">
        <v>1246</v>
      </c>
      <c r="F26" s="3" t="s">
        <v>1247</v>
      </c>
      <c r="G26" s="3" t="s">
        <v>1248</v>
      </c>
    </row>
    <row r="27" spans="1:7">
      <c r="A27" s="3" t="s">
        <v>1249</v>
      </c>
      <c r="B27" s="3" t="s">
        <v>1250</v>
      </c>
      <c r="C27" s="3" t="s">
        <v>1245</v>
      </c>
      <c r="D27" s="3" t="s">
        <v>615</v>
      </c>
      <c r="E27" s="3" t="s">
        <v>1251</v>
      </c>
      <c r="F27" s="3" t="s">
        <v>1252</v>
      </c>
      <c r="G27" s="3" t="s">
        <v>1253</v>
      </c>
    </row>
    <row r="28" spans="1:7">
      <c r="A28" s="3" t="s">
        <v>1254</v>
      </c>
      <c r="B28" s="3" t="s">
        <v>1255</v>
      </c>
      <c r="C28" s="3" t="s">
        <v>1245</v>
      </c>
      <c r="D28" s="3" t="s">
        <v>615</v>
      </c>
      <c r="E28" s="3" t="s">
        <v>1256</v>
      </c>
      <c r="F28" s="3" t="s">
        <v>1257</v>
      </c>
      <c r="G28" s="3" t="s">
        <v>1258</v>
      </c>
    </row>
    <row r="29" spans="1:7">
      <c r="A29" s="3" t="s">
        <v>1259</v>
      </c>
      <c r="B29" s="3" t="s">
        <v>1260</v>
      </c>
      <c r="C29" s="3" t="s">
        <v>216</v>
      </c>
      <c r="D29" s="3" t="s">
        <v>615</v>
      </c>
      <c r="E29" s="3" t="s">
        <v>1261</v>
      </c>
      <c r="F29" s="3" t="s">
        <v>1262</v>
      </c>
      <c r="G29" s="3" t="s">
        <v>1263</v>
      </c>
    </row>
    <row r="30" spans="1:7">
      <c r="A30" s="3" t="s">
        <v>1264</v>
      </c>
      <c r="B30" s="3" t="s">
        <v>1265</v>
      </c>
      <c r="C30" s="3" t="s">
        <v>216</v>
      </c>
      <c r="D30" s="3" t="s">
        <v>615</v>
      </c>
      <c r="E30" s="3" t="s">
        <v>1266</v>
      </c>
      <c r="F30" s="3" t="s">
        <v>1267</v>
      </c>
      <c r="G30" s="3" t="s">
        <v>1268</v>
      </c>
    </row>
    <row r="31" spans="1:7">
      <c r="A31" s="3" t="s">
        <v>1269</v>
      </c>
      <c r="B31" s="3" t="s">
        <v>1270</v>
      </c>
      <c r="C31" s="3" t="s">
        <v>1158</v>
      </c>
      <c r="D31" s="3" t="s">
        <v>615</v>
      </c>
      <c r="E31" s="3" t="s">
        <v>1271</v>
      </c>
      <c r="F31" s="3" t="s">
        <v>1272</v>
      </c>
      <c r="G31" s="3" t="s">
        <v>1273</v>
      </c>
    </row>
    <row r="32" spans="1:7">
      <c r="A32" s="3" t="s">
        <v>1274</v>
      </c>
      <c r="B32" s="3" t="s">
        <v>1275</v>
      </c>
      <c r="C32" s="3" t="s">
        <v>1158</v>
      </c>
      <c r="D32" s="3" t="s">
        <v>600</v>
      </c>
      <c r="E32" s="3" t="s">
        <v>1276</v>
      </c>
      <c r="F32" s="3" t="s">
        <v>1277</v>
      </c>
      <c r="G32" s="3" t="s">
        <v>1278</v>
      </c>
    </row>
    <row r="33" spans="1:7">
      <c r="A33" s="3" t="s">
        <v>1279</v>
      </c>
      <c r="B33" s="3" t="s">
        <v>1280</v>
      </c>
      <c r="C33" s="3" t="s">
        <v>1174</v>
      </c>
      <c r="D33" s="3" t="s">
        <v>600</v>
      </c>
      <c r="E33" s="3" t="s">
        <v>1281</v>
      </c>
      <c r="F33" s="3" t="s">
        <v>1282</v>
      </c>
      <c r="G33" s="3" t="s">
        <v>1283</v>
      </c>
    </row>
    <row r="34" spans="1:7">
      <c r="A34" s="3" t="s">
        <v>1284</v>
      </c>
      <c r="B34" s="3" t="s">
        <v>1285</v>
      </c>
      <c r="C34" s="3" t="s">
        <v>1174</v>
      </c>
      <c r="D34" s="3" t="s">
        <v>600</v>
      </c>
      <c r="E34" s="3" t="s">
        <v>1286</v>
      </c>
      <c r="F34" s="3" t="s">
        <v>1287</v>
      </c>
      <c r="G34" s="3" t="s">
        <v>1288</v>
      </c>
    </row>
    <row r="35" spans="1:7">
      <c r="A35" s="3" t="s">
        <v>1289</v>
      </c>
      <c r="B35" s="3" t="s">
        <v>1290</v>
      </c>
      <c r="C35" s="3" t="s">
        <v>664</v>
      </c>
      <c r="D35" s="3" t="s">
        <v>615</v>
      </c>
      <c r="E35" s="3" t="s">
        <v>1291</v>
      </c>
      <c r="F35" s="3" t="s">
        <v>1292</v>
      </c>
      <c r="G35" s="3" t="s">
        <v>1293</v>
      </c>
    </row>
    <row r="36" spans="1:7">
      <c r="A36" s="3" t="s">
        <v>1294</v>
      </c>
      <c r="B36" s="3" t="s">
        <v>1295</v>
      </c>
      <c r="C36" s="3" t="s">
        <v>53</v>
      </c>
      <c r="D36" s="3" t="s">
        <v>600</v>
      </c>
      <c r="E36" s="3" t="s">
        <v>1296</v>
      </c>
      <c r="F36" s="3" t="s">
        <v>1297</v>
      </c>
      <c r="G36" s="3" t="s">
        <v>1298</v>
      </c>
    </row>
    <row r="37" spans="1:7">
      <c r="A37" s="3" t="s">
        <v>1299</v>
      </c>
      <c r="B37" s="3" t="s">
        <v>1300</v>
      </c>
      <c r="C37" s="3" t="s">
        <v>53</v>
      </c>
      <c r="D37" s="3" t="s">
        <v>600</v>
      </c>
      <c r="E37" s="3" t="s">
        <v>1301</v>
      </c>
      <c r="F37" s="3" t="s">
        <v>1302</v>
      </c>
      <c r="G37" s="3" t="s">
        <v>1303</v>
      </c>
    </row>
    <row r="38" spans="1:7">
      <c r="A38" s="3" t="s">
        <v>1304</v>
      </c>
      <c r="B38" s="3" t="s">
        <v>1305</v>
      </c>
      <c r="C38" s="3" t="s">
        <v>53</v>
      </c>
      <c r="D38" s="3" t="s">
        <v>600</v>
      </c>
      <c r="E38" s="3" t="s">
        <v>1306</v>
      </c>
      <c r="F38" s="3" t="s">
        <v>1307</v>
      </c>
      <c r="G38" s="3" t="s">
        <v>1308</v>
      </c>
    </row>
    <row r="39" spans="1:7">
      <c r="A39" s="3" t="s">
        <v>1309</v>
      </c>
      <c r="B39" s="3" t="s">
        <v>1310</v>
      </c>
      <c r="C39" s="3" t="s">
        <v>55</v>
      </c>
      <c r="D39" s="3" t="s">
        <v>683</v>
      </c>
      <c r="E39" s="3" t="s">
        <v>1311</v>
      </c>
      <c r="F39" s="3" t="s">
        <v>1312</v>
      </c>
      <c r="G39" s="3" t="s">
        <v>1313</v>
      </c>
    </row>
    <row r="40" spans="1:7">
      <c r="A40" s="3" t="s">
        <v>1314</v>
      </c>
      <c r="B40" s="3" t="s">
        <v>1112</v>
      </c>
      <c r="C40" s="3" t="s">
        <v>55</v>
      </c>
      <c r="D40" s="3" t="s">
        <v>615</v>
      </c>
      <c r="E40" s="3" t="s">
        <v>1315</v>
      </c>
      <c r="F40" s="3" t="s">
        <v>1316</v>
      </c>
      <c r="G40" s="3" t="s">
        <v>1317</v>
      </c>
    </row>
    <row r="41" spans="1:7">
      <c r="A41" s="3" t="s">
        <v>1318</v>
      </c>
      <c r="B41" s="3" t="s">
        <v>1319</v>
      </c>
      <c r="C41" s="3" t="s">
        <v>1214</v>
      </c>
      <c r="D41" s="3" t="s">
        <v>600</v>
      </c>
      <c r="E41" s="3" t="s">
        <v>1320</v>
      </c>
      <c r="F41" s="3" t="s">
        <v>1321</v>
      </c>
      <c r="G41" s="3" t="s">
        <v>1322</v>
      </c>
    </row>
    <row r="42" spans="1:7">
      <c r="A42" s="3" t="s">
        <v>1323</v>
      </c>
      <c r="B42" s="3" t="s">
        <v>1324</v>
      </c>
      <c r="C42" s="3" t="s">
        <v>47</v>
      </c>
      <c r="D42" s="3" t="s">
        <v>615</v>
      </c>
      <c r="E42" s="3" t="s">
        <v>1325</v>
      </c>
      <c r="F42" s="3" t="s">
        <v>1326</v>
      </c>
      <c r="G42" s="3" t="s">
        <v>1327</v>
      </c>
    </row>
    <row r="43" spans="1:7">
      <c r="A43" s="3" t="s">
        <v>1328</v>
      </c>
      <c r="B43" s="3" t="s">
        <v>1329</v>
      </c>
      <c r="C43" s="3" t="s">
        <v>47</v>
      </c>
      <c r="D43" s="3" t="s">
        <v>683</v>
      </c>
      <c r="E43" s="3" t="s">
        <v>1330</v>
      </c>
      <c r="F43" s="3" t="s">
        <v>1331</v>
      </c>
      <c r="G43" s="3" t="s">
        <v>1332</v>
      </c>
    </row>
    <row r="44" spans="1:7">
      <c r="A44" s="3" t="s">
        <v>1333</v>
      </c>
      <c r="B44" s="3" t="s">
        <v>1334</v>
      </c>
      <c r="C44" s="3" t="s">
        <v>1335</v>
      </c>
      <c r="D44" s="3" t="s">
        <v>615</v>
      </c>
      <c r="E44" s="3" t="s">
        <v>1336</v>
      </c>
      <c r="F44" s="3" t="s">
        <v>1337</v>
      </c>
      <c r="G44" s="3" t="s">
        <v>1338</v>
      </c>
    </row>
  </sheetData>
  <mergeCells count="2">
    <mergeCell ref="A1:G1"/>
    <mergeCell ref="A2:G2"/>
  </mergeCells>
  <conditionalFormatting sqref="D5:D44">
    <cfRule type="expression" dxfId="3" priority="1">
      <formula>D5="critical"</formula>
    </cfRule>
    <cfRule type="expression" dxfId="2" priority="2">
      <formula>D5="high"</formula>
    </cfRule>
    <cfRule type="expression" dxfId="1" priority="3">
      <formula>D5="medium"</formula>
    </cfRule>
    <cfRule type="expression" dxfId="0" priority="4">
      <formula>D5="low"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2"/>
  <sheetViews>
    <sheetView workbookViewId="0">
      <selection sqref="A1:G1"/>
    </sheetView>
  </sheetViews>
  <sheetFormatPr defaultRowHeight="13.8"/>
  <cols>
    <col min="1" max="1" width="16" customWidth="1"/>
    <col min="2" max="2" width="28" customWidth="1"/>
    <col min="3" max="3" width="32" customWidth="1"/>
    <col min="4" max="4" width="70" customWidth="1"/>
    <col min="5" max="5" width="38" customWidth="1"/>
    <col min="6" max="6" width="28" customWidth="1"/>
    <col min="7" max="7" width="54" customWidth="1"/>
  </cols>
  <sheetData>
    <row r="1" spans="1:7" ht="22.35" customHeight="1">
      <c r="A1" s="21" t="s">
        <v>1339</v>
      </c>
      <c r="B1" s="22"/>
      <c r="C1" s="22"/>
      <c r="D1" s="22"/>
      <c r="E1" s="22"/>
      <c r="F1" s="22"/>
      <c r="G1" s="22"/>
    </row>
    <row r="2" spans="1:7" ht="22.35" customHeight="1">
      <c r="A2" s="23" t="s">
        <v>1340</v>
      </c>
      <c r="B2" s="22"/>
      <c r="C2" s="22"/>
      <c r="D2" s="22"/>
      <c r="E2" s="22"/>
      <c r="F2" s="22"/>
      <c r="G2" s="22"/>
    </row>
    <row r="4" spans="1:7">
      <c r="A4" s="8" t="s">
        <v>1341</v>
      </c>
      <c r="B4" s="8" t="s">
        <v>1342</v>
      </c>
      <c r="C4" s="8" t="s">
        <v>838</v>
      </c>
      <c r="D4" s="8" t="s">
        <v>1343</v>
      </c>
      <c r="E4" s="8" t="s">
        <v>1344</v>
      </c>
      <c r="F4" s="8" t="s">
        <v>1345</v>
      </c>
      <c r="G4" s="8" t="s">
        <v>73</v>
      </c>
    </row>
    <row r="5" spans="1:7">
      <c r="A5" s="3" t="s">
        <v>1346</v>
      </c>
      <c r="B5" s="3" t="s">
        <v>1347</v>
      </c>
      <c r="C5" s="3" t="s">
        <v>1348</v>
      </c>
      <c r="D5" s="3" t="s">
        <v>1349</v>
      </c>
      <c r="E5" s="3" t="s">
        <v>1350</v>
      </c>
      <c r="F5" s="3" t="s">
        <v>1351</v>
      </c>
      <c r="G5" s="3" t="s">
        <v>1352</v>
      </c>
    </row>
    <row r="6" spans="1:7" ht="27.6">
      <c r="A6" s="3" t="s">
        <v>1353</v>
      </c>
      <c r="B6" s="3" t="s">
        <v>1354</v>
      </c>
      <c r="C6" s="3" t="s">
        <v>1355</v>
      </c>
      <c r="D6" s="3" t="s">
        <v>1356</v>
      </c>
      <c r="E6" s="3" t="s">
        <v>1357</v>
      </c>
      <c r="F6" s="3" t="s">
        <v>1358</v>
      </c>
      <c r="G6" s="3" t="s">
        <v>1359</v>
      </c>
    </row>
    <row r="7" spans="1:7" ht="27.6">
      <c r="A7" s="3" t="s">
        <v>1360</v>
      </c>
      <c r="B7" s="3" t="s">
        <v>1361</v>
      </c>
      <c r="C7" s="3" t="s">
        <v>1362</v>
      </c>
      <c r="D7" s="3" t="s">
        <v>1363</v>
      </c>
      <c r="E7" s="3" t="s">
        <v>1364</v>
      </c>
      <c r="F7" s="3" t="s">
        <v>1365</v>
      </c>
      <c r="G7" s="3" t="s">
        <v>1366</v>
      </c>
    </row>
    <row r="8" spans="1:7" ht="27.6">
      <c r="A8" s="3" t="s">
        <v>1367</v>
      </c>
      <c r="B8" s="3" t="s">
        <v>1368</v>
      </c>
      <c r="C8" s="3" t="s">
        <v>1369</v>
      </c>
      <c r="D8" s="3" t="s">
        <v>1370</v>
      </c>
      <c r="E8" s="3" t="s">
        <v>1371</v>
      </c>
      <c r="F8" s="3" t="s">
        <v>1372</v>
      </c>
      <c r="G8" s="3" t="s">
        <v>1373</v>
      </c>
    </row>
    <row r="9" spans="1:7">
      <c r="A9" s="3" t="s">
        <v>1374</v>
      </c>
      <c r="B9" s="3" t="s">
        <v>1375</v>
      </c>
      <c r="C9" s="3" t="s">
        <v>1376</v>
      </c>
      <c r="D9" s="3" t="s">
        <v>1377</v>
      </c>
      <c r="E9" s="3" t="s">
        <v>1378</v>
      </c>
      <c r="F9" s="3" t="s">
        <v>1379</v>
      </c>
      <c r="G9" s="3" t="s">
        <v>1380</v>
      </c>
    </row>
    <row r="10" spans="1:7">
      <c r="A10" s="3" t="s">
        <v>1381</v>
      </c>
      <c r="B10" s="3" t="s">
        <v>1382</v>
      </c>
      <c r="C10" s="3" t="s">
        <v>1383</v>
      </c>
      <c r="D10" s="3" t="s">
        <v>1384</v>
      </c>
      <c r="E10" s="3" t="s">
        <v>1385</v>
      </c>
      <c r="F10" s="3" t="s">
        <v>1365</v>
      </c>
      <c r="G10" s="3" t="s">
        <v>1386</v>
      </c>
    </row>
    <row r="11" spans="1:7">
      <c r="A11" s="3" t="s">
        <v>1387</v>
      </c>
      <c r="B11" s="3" t="s">
        <v>1388</v>
      </c>
      <c r="C11" s="3" t="s">
        <v>1389</v>
      </c>
      <c r="D11" s="3" t="s">
        <v>1390</v>
      </c>
      <c r="E11" s="3" t="s">
        <v>1385</v>
      </c>
      <c r="F11" s="3" t="s">
        <v>589</v>
      </c>
      <c r="G11" s="3" t="s">
        <v>1391</v>
      </c>
    </row>
    <row r="12" spans="1:7">
      <c r="A12" s="3" t="s">
        <v>1392</v>
      </c>
      <c r="B12" s="3" t="s">
        <v>1393</v>
      </c>
      <c r="C12" s="3" t="s">
        <v>1394</v>
      </c>
      <c r="D12" s="3" t="s">
        <v>1395</v>
      </c>
      <c r="E12" s="3" t="s">
        <v>1396</v>
      </c>
      <c r="F12" s="3" t="s">
        <v>1397</v>
      </c>
      <c r="G12" s="3" t="s">
        <v>1398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8"/>
  <sheetViews>
    <sheetView workbookViewId="0">
      <selection sqref="A1:E1"/>
    </sheetView>
  </sheetViews>
  <sheetFormatPr defaultRowHeight="13.8"/>
  <cols>
    <col min="1" max="1" width="16" customWidth="1"/>
    <col min="2" max="2" width="30" customWidth="1"/>
    <col min="3" max="3" width="22" customWidth="1"/>
    <col min="4" max="4" width="70" customWidth="1"/>
    <col min="5" max="5" width="16" customWidth="1"/>
  </cols>
  <sheetData>
    <row r="1" spans="1:5" ht="22.35" customHeight="1">
      <c r="A1" s="21" t="s">
        <v>1399</v>
      </c>
      <c r="B1" s="22"/>
      <c r="C1" s="22"/>
      <c r="D1" s="22"/>
      <c r="E1" s="22"/>
    </row>
    <row r="2" spans="1:5" ht="22.35" customHeight="1">
      <c r="A2" s="23" t="s">
        <v>1400</v>
      </c>
      <c r="B2" s="22"/>
      <c r="C2" s="22"/>
      <c r="D2" s="22"/>
      <c r="E2" s="22"/>
    </row>
    <row r="4" spans="1:5">
      <c r="A4" s="9" t="s">
        <v>1401</v>
      </c>
      <c r="B4" s="9" t="s">
        <v>1402</v>
      </c>
      <c r="C4" s="9" t="s">
        <v>1403</v>
      </c>
      <c r="D4" s="9" t="s">
        <v>1404</v>
      </c>
      <c r="E4" s="9" t="s">
        <v>1405</v>
      </c>
    </row>
    <row r="5" spans="1:5">
      <c r="A5" s="3" t="s">
        <v>1406</v>
      </c>
      <c r="B5" s="3" t="s">
        <v>1407</v>
      </c>
      <c r="C5" s="3" t="s">
        <v>1408</v>
      </c>
      <c r="D5" s="3" t="s">
        <v>1409</v>
      </c>
      <c r="E5" s="3" t="s">
        <v>900</v>
      </c>
    </row>
    <row r="6" spans="1:5">
      <c r="A6" s="3" t="s">
        <v>1410</v>
      </c>
      <c r="B6" s="3" t="s">
        <v>1411</v>
      </c>
      <c r="C6" s="3" t="s">
        <v>1412</v>
      </c>
      <c r="D6" s="3" t="s">
        <v>1413</v>
      </c>
      <c r="E6" s="3" t="s">
        <v>1414</v>
      </c>
    </row>
    <row r="7" spans="1:5">
      <c r="A7" s="3" t="s">
        <v>1415</v>
      </c>
      <c r="B7" s="3" t="s">
        <v>1416</v>
      </c>
      <c r="C7" s="3" t="s">
        <v>1417</v>
      </c>
      <c r="D7" s="3" t="s">
        <v>1418</v>
      </c>
      <c r="E7" s="3" t="s">
        <v>900</v>
      </c>
    </row>
    <row r="8" spans="1:5">
      <c r="A8" s="3" t="s">
        <v>1419</v>
      </c>
      <c r="B8" s="3" t="s">
        <v>1420</v>
      </c>
      <c r="C8" s="3" t="s">
        <v>1421</v>
      </c>
      <c r="D8" s="3" t="s">
        <v>1422</v>
      </c>
      <c r="E8" s="3" t="s">
        <v>900</v>
      </c>
    </row>
    <row r="9" spans="1:5">
      <c r="A9" s="3" t="s">
        <v>1423</v>
      </c>
      <c r="B9" s="3" t="s">
        <v>1424</v>
      </c>
      <c r="C9" s="3" t="s">
        <v>1425</v>
      </c>
      <c r="D9" s="3" t="s">
        <v>1426</v>
      </c>
      <c r="E9" s="3" t="s">
        <v>1414</v>
      </c>
    </row>
    <row r="10" spans="1:5">
      <c r="A10" s="3" t="s">
        <v>1427</v>
      </c>
      <c r="B10" s="3" t="s">
        <v>1428</v>
      </c>
      <c r="C10" s="3" t="s">
        <v>1429</v>
      </c>
      <c r="D10" s="3" t="s">
        <v>1430</v>
      </c>
      <c r="E10" s="3" t="s">
        <v>1414</v>
      </c>
    </row>
    <row r="11" spans="1:5">
      <c r="A11" s="3" t="s">
        <v>1431</v>
      </c>
      <c r="B11" s="3" t="s">
        <v>1432</v>
      </c>
      <c r="C11" s="3" t="s">
        <v>1425</v>
      </c>
      <c r="D11" s="3" t="s">
        <v>1433</v>
      </c>
      <c r="E11" s="3" t="s">
        <v>900</v>
      </c>
    </row>
    <row r="12" spans="1:5">
      <c r="A12" s="3" t="s">
        <v>1434</v>
      </c>
      <c r="B12" s="3" t="s">
        <v>1435</v>
      </c>
      <c r="C12" s="3" t="s">
        <v>1436</v>
      </c>
      <c r="D12" s="3" t="s">
        <v>1437</v>
      </c>
      <c r="E12" s="3" t="s">
        <v>1414</v>
      </c>
    </row>
    <row r="13" spans="1:5">
      <c r="A13" s="3" t="s">
        <v>1438</v>
      </c>
      <c r="B13" s="3" t="s">
        <v>1439</v>
      </c>
      <c r="C13" s="3" t="s">
        <v>64</v>
      </c>
      <c r="D13" s="3" t="s">
        <v>1440</v>
      </c>
      <c r="E13" s="3" t="s">
        <v>900</v>
      </c>
    </row>
    <row r="14" spans="1:5">
      <c r="A14" s="3" t="s">
        <v>1441</v>
      </c>
      <c r="B14" s="3" t="s">
        <v>1442</v>
      </c>
      <c r="C14" s="3" t="s">
        <v>1443</v>
      </c>
      <c r="D14" s="3" t="s">
        <v>1444</v>
      </c>
      <c r="E14" s="3" t="s">
        <v>900</v>
      </c>
    </row>
    <row r="15" spans="1:5">
      <c r="A15" s="3" t="s">
        <v>1445</v>
      </c>
      <c r="B15" s="3" t="s">
        <v>1446</v>
      </c>
      <c r="C15" s="3" t="s">
        <v>64</v>
      </c>
      <c r="D15" s="3" t="s">
        <v>1447</v>
      </c>
      <c r="E15" s="3" t="s">
        <v>1414</v>
      </c>
    </row>
    <row r="16" spans="1:5">
      <c r="A16" s="3" t="s">
        <v>1448</v>
      </c>
      <c r="B16" s="3" t="s">
        <v>1449</v>
      </c>
      <c r="C16" s="3" t="s">
        <v>1450</v>
      </c>
      <c r="D16" s="3" t="s">
        <v>1451</v>
      </c>
      <c r="E16" s="3" t="s">
        <v>850</v>
      </c>
    </row>
    <row r="17" spans="1:5">
      <c r="A17" s="3" t="s">
        <v>1452</v>
      </c>
      <c r="B17" s="3" t="s">
        <v>1453</v>
      </c>
      <c r="C17" s="3" t="s">
        <v>1443</v>
      </c>
      <c r="D17" s="3" t="s">
        <v>1454</v>
      </c>
      <c r="E17" s="3" t="s">
        <v>900</v>
      </c>
    </row>
    <row r="18" spans="1:5">
      <c r="A18" s="3" t="s">
        <v>1455</v>
      </c>
      <c r="B18" s="3" t="s">
        <v>1456</v>
      </c>
      <c r="C18" s="3" t="s">
        <v>1425</v>
      </c>
      <c r="D18" s="3" t="s">
        <v>1457</v>
      </c>
      <c r="E18" s="3" t="s">
        <v>900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0"/>
  <sheetViews>
    <sheetView workbookViewId="0">
      <selection sqref="A1:E1"/>
    </sheetView>
  </sheetViews>
  <sheetFormatPr defaultRowHeight="13.8"/>
  <cols>
    <col min="1" max="1" width="24" customWidth="1"/>
    <col min="2" max="2" width="16" customWidth="1"/>
    <col min="3" max="3" width="52" customWidth="1"/>
    <col min="4" max="4" width="36" customWidth="1"/>
    <col min="5" max="5" width="20" customWidth="1"/>
  </cols>
  <sheetData>
    <row r="1" spans="1:5" ht="22.35" customHeight="1">
      <c r="A1" s="21" t="s">
        <v>1458</v>
      </c>
      <c r="B1" s="22"/>
      <c r="C1" s="22"/>
      <c r="D1" s="22"/>
      <c r="E1" s="22"/>
    </row>
    <row r="2" spans="1:5" ht="22.35" customHeight="1">
      <c r="A2" s="23" t="s">
        <v>1459</v>
      </c>
      <c r="B2" s="22"/>
      <c r="C2" s="22"/>
      <c r="D2" s="22"/>
      <c r="E2" s="22"/>
    </row>
    <row r="4" spans="1:5">
      <c r="A4" s="5" t="s">
        <v>62</v>
      </c>
      <c r="B4" s="5" t="s">
        <v>158</v>
      </c>
      <c r="C4" s="5" t="s">
        <v>160</v>
      </c>
      <c r="D4" s="5" t="s">
        <v>161</v>
      </c>
      <c r="E4" s="5" t="s">
        <v>1460</v>
      </c>
    </row>
    <row r="5" spans="1:5">
      <c r="A5" s="3" t="s">
        <v>1461</v>
      </c>
      <c r="B5" s="3" t="s">
        <v>164</v>
      </c>
      <c r="C5" s="3" t="s">
        <v>1462</v>
      </c>
      <c r="D5" s="3" t="s">
        <v>1463</v>
      </c>
      <c r="E5" s="3" t="s">
        <v>934</v>
      </c>
    </row>
    <row r="6" spans="1:5">
      <c r="A6" s="3" t="s">
        <v>1464</v>
      </c>
      <c r="B6" s="3" t="s">
        <v>1465</v>
      </c>
      <c r="C6" s="3" t="s">
        <v>1466</v>
      </c>
      <c r="D6" s="3">
        <v>46196.5</v>
      </c>
      <c r="E6" s="3" t="s">
        <v>934</v>
      </c>
    </row>
    <row r="7" spans="1:5">
      <c r="A7" s="3" t="s">
        <v>970</v>
      </c>
      <c r="B7" s="3" t="s">
        <v>164</v>
      </c>
      <c r="C7" s="3" t="s">
        <v>1467</v>
      </c>
      <c r="D7" s="3" t="s">
        <v>329</v>
      </c>
      <c r="E7" s="3" t="s">
        <v>934</v>
      </c>
    </row>
    <row r="8" spans="1:5">
      <c r="A8" s="3" t="s">
        <v>566</v>
      </c>
      <c r="B8" s="3" t="s">
        <v>175</v>
      </c>
      <c r="C8" s="3" t="s">
        <v>1468</v>
      </c>
      <c r="D8" s="3" t="s">
        <v>89</v>
      </c>
      <c r="E8" s="3" t="s">
        <v>934</v>
      </c>
    </row>
    <row r="9" spans="1:5">
      <c r="A9" s="3" t="s">
        <v>1469</v>
      </c>
      <c r="B9" s="3" t="s">
        <v>164</v>
      </c>
      <c r="C9" s="3" t="s">
        <v>1470</v>
      </c>
      <c r="D9" s="3" t="s">
        <v>1471</v>
      </c>
      <c r="E9" s="3" t="s">
        <v>1472</v>
      </c>
    </row>
    <row r="10" spans="1:5">
      <c r="A10" s="3" t="s">
        <v>59</v>
      </c>
      <c r="B10" s="3" t="s">
        <v>164</v>
      </c>
      <c r="C10" s="3" t="s">
        <v>1473</v>
      </c>
      <c r="D10" s="3" t="s">
        <v>74</v>
      </c>
      <c r="E10" s="3" t="s">
        <v>1474</v>
      </c>
    </row>
    <row r="11" spans="1:5">
      <c r="A11" s="3" t="s">
        <v>1475</v>
      </c>
      <c r="B11" s="3" t="s">
        <v>164</v>
      </c>
      <c r="C11" s="3" t="s">
        <v>1476</v>
      </c>
      <c r="D11" s="3" t="s">
        <v>1477</v>
      </c>
      <c r="E11" s="3" t="s">
        <v>934</v>
      </c>
    </row>
    <row r="12" spans="1:5" ht="27.6">
      <c r="A12" s="3" t="s">
        <v>1478</v>
      </c>
      <c r="B12" s="3" t="s">
        <v>164</v>
      </c>
      <c r="C12" s="3" t="s">
        <v>1479</v>
      </c>
      <c r="D12" s="3" t="s">
        <v>1480</v>
      </c>
      <c r="E12" s="3" t="s">
        <v>1481</v>
      </c>
    </row>
    <row r="13" spans="1:5" ht="27.6">
      <c r="A13" s="3" t="s">
        <v>1482</v>
      </c>
      <c r="B13" s="3" t="s">
        <v>164</v>
      </c>
      <c r="C13" s="3" t="s">
        <v>1483</v>
      </c>
      <c r="D13" s="3" t="s">
        <v>1484</v>
      </c>
      <c r="E13" s="3" t="s">
        <v>1485</v>
      </c>
    </row>
    <row r="14" spans="1:5">
      <c r="A14" s="3" t="s">
        <v>1486</v>
      </c>
      <c r="B14" s="3" t="s">
        <v>164</v>
      </c>
      <c r="C14" s="3" t="s">
        <v>1487</v>
      </c>
      <c r="D14" s="3" t="s">
        <v>1484</v>
      </c>
      <c r="E14" s="3" t="s">
        <v>1488</v>
      </c>
    </row>
    <row r="15" spans="1:5">
      <c r="A15" s="3" t="s">
        <v>1489</v>
      </c>
      <c r="B15" s="3" t="s">
        <v>201</v>
      </c>
      <c r="C15" s="3" t="s">
        <v>1490</v>
      </c>
      <c r="D15" s="3" t="s">
        <v>1491</v>
      </c>
      <c r="E15" s="3" t="s">
        <v>934</v>
      </c>
    </row>
    <row r="16" spans="1:5">
      <c r="A16" s="3" t="s">
        <v>418</v>
      </c>
      <c r="B16" s="3" t="s">
        <v>201</v>
      </c>
      <c r="C16" s="3" t="s">
        <v>1492</v>
      </c>
      <c r="D16" s="3" t="s">
        <v>1493</v>
      </c>
      <c r="E16" s="3" t="s">
        <v>934</v>
      </c>
    </row>
    <row r="17" spans="1:5">
      <c r="A17" s="3" t="s">
        <v>1494</v>
      </c>
      <c r="B17" s="3" t="s">
        <v>175</v>
      </c>
      <c r="C17" s="3" t="s">
        <v>1495</v>
      </c>
      <c r="D17" s="3" t="s">
        <v>1496</v>
      </c>
      <c r="E17" s="3" t="s">
        <v>934</v>
      </c>
    </row>
    <row r="18" spans="1:5">
      <c r="A18" s="3" t="s">
        <v>573</v>
      </c>
      <c r="B18" s="3" t="s">
        <v>238</v>
      </c>
      <c r="C18" s="3" t="s">
        <v>1497</v>
      </c>
      <c r="D18" s="3" t="s">
        <v>75</v>
      </c>
      <c r="E18" s="3" t="s">
        <v>934</v>
      </c>
    </row>
    <row r="19" spans="1:5">
      <c r="A19" s="3" t="s">
        <v>1498</v>
      </c>
      <c r="B19" s="3" t="s">
        <v>175</v>
      </c>
      <c r="C19" s="3" t="s">
        <v>1499</v>
      </c>
      <c r="D19" s="3" t="s">
        <v>1500</v>
      </c>
      <c r="E19" s="3" t="s">
        <v>934</v>
      </c>
    </row>
    <row r="20" spans="1:5">
      <c r="A20" s="3" t="s">
        <v>1501</v>
      </c>
      <c r="B20" s="3" t="s">
        <v>164</v>
      </c>
      <c r="C20" s="3" t="s">
        <v>1502</v>
      </c>
      <c r="D20" s="3"/>
      <c r="E20" s="3" t="s">
        <v>1474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2"/>
  <sheetViews>
    <sheetView tabSelected="1" workbookViewId="0">
      <selection sqref="A1:L1"/>
    </sheetView>
  </sheetViews>
  <sheetFormatPr defaultRowHeight="13.8"/>
  <cols>
    <col min="1" max="1" width="28" customWidth="1"/>
    <col min="2" max="5" width="14" customWidth="1"/>
    <col min="6" max="6" width="18" customWidth="1"/>
    <col min="7" max="7" width="44" customWidth="1"/>
    <col min="8" max="8" width="4" customWidth="1"/>
    <col min="9" max="9" width="24" customWidth="1"/>
    <col min="10" max="10" width="16" customWidth="1"/>
    <col min="11" max="11" width="50" customWidth="1"/>
  </cols>
  <sheetData>
    <row r="1" spans="1:12" ht="22.35" customHeight="1">
      <c r="A1" s="21" t="s">
        <v>2004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2.35" customHeight="1">
      <c r="A2" s="23" t="s">
        <v>1503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2">
      <c r="A4" s="10" t="s">
        <v>1504</v>
      </c>
      <c r="B4" s="10" t="s">
        <v>3</v>
      </c>
      <c r="C4" s="10" t="s">
        <v>1505</v>
      </c>
      <c r="E4" s="14" t="s">
        <v>1506</v>
      </c>
      <c r="F4" s="14" t="s">
        <v>1507</v>
      </c>
      <c r="G4" s="14" t="s">
        <v>1508</v>
      </c>
    </row>
    <row r="5" spans="1:12">
      <c r="A5" t="s">
        <v>1509</v>
      </c>
      <c r="B5" t="s">
        <v>1346</v>
      </c>
      <c r="C5" t="s">
        <v>1510</v>
      </c>
      <c r="E5" t="s">
        <v>1511</v>
      </c>
      <c r="F5" s="18">
        <f>ROUND(B6*B7,0)</f>
        <v>500</v>
      </c>
      <c r="G5" t="s">
        <v>1512</v>
      </c>
    </row>
    <row r="6" spans="1:12">
      <c r="A6" t="s">
        <v>1513</v>
      </c>
      <c r="B6">
        <v>10000</v>
      </c>
      <c r="C6" t="s">
        <v>1514</v>
      </c>
      <c r="E6" t="s">
        <v>1515</v>
      </c>
      <c r="F6" s="18">
        <f>ROUND(B6*B8,0)</f>
        <v>1800</v>
      </c>
      <c r="G6" t="s">
        <v>1516</v>
      </c>
    </row>
    <row r="7" spans="1:12">
      <c r="A7" t="s">
        <v>1517</v>
      </c>
      <c r="B7" s="17">
        <v>0.05</v>
      </c>
      <c r="C7" t="s">
        <v>1518</v>
      </c>
      <c r="E7" t="s">
        <v>1519</v>
      </c>
      <c r="F7" s="18">
        <f>ROUND(B6*B9,0)</f>
        <v>800</v>
      </c>
      <c r="G7" t="s">
        <v>1520</v>
      </c>
    </row>
    <row r="8" spans="1:12">
      <c r="A8" t="s">
        <v>1521</v>
      </c>
      <c r="B8" s="17">
        <v>0.18</v>
      </c>
      <c r="C8" t="s">
        <v>1522</v>
      </c>
      <c r="E8" t="s">
        <v>1523</v>
      </c>
      <c r="F8" s="18">
        <f>ROUNDUP(B6/B13,0)</f>
        <v>20</v>
      </c>
      <c r="G8" t="s">
        <v>1524</v>
      </c>
    </row>
    <row r="9" spans="1:12">
      <c r="A9" t="s">
        <v>1525</v>
      </c>
      <c r="B9" s="17">
        <v>0.08</v>
      </c>
      <c r="C9" t="s">
        <v>1526</v>
      </c>
      <c r="E9" t="s">
        <v>1527</v>
      </c>
      <c r="F9" s="18">
        <f>MIN(B10,50)</f>
        <v>50</v>
      </c>
      <c r="G9" t="s">
        <v>1528</v>
      </c>
    </row>
    <row r="10" spans="1:12">
      <c r="A10" t="s">
        <v>1529</v>
      </c>
      <c r="B10" s="17">
        <v>120</v>
      </c>
      <c r="C10" t="s">
        <v>1530</v>
      </c>
      <c r="E10" t="s">
        <v>1531</v>
      </c>
      <c r="F10" s="18">
        <f>B6+ROUND(B6*B9,0)</f>
        <v>10800</v>
      </c>
      <c r="G10" t="s">
        <v>1532</v>
      </c>
    </row>
    <row r="11" spans="1:12">
      <c r="A11" t="s">
        <v>1533</v>
      </c>
      <c r="B11" s="17">
        <v>0.9</v>
      </c>
      <c r="C11" t="s">
        <v>1534</v>
      </c>
      <c r="E11" t="s">
        <v>1535</v>
      </c>
      <c r="F11" s="18" t="str">
        <f>IF(B6&gt;0,"YES","NO")</f>
        <v>YES</v>
      </c>
      <c r="G11" t="s">
        <v>1536</v>
      </c>
    </row>
    <row r="12" spans="1:12">
      <c r="A12" t="s">
        <v>1537</v>
      </c>
      <c r="B12" s="17">
        <v>0.75</v>
      </c>
      <c r="C12" t="s">
        <v>1538</v>
      </c>
      <c r="E12" t="s">
        <v>1539</v>
      </c>
      <c r="F12" s="19" t="str">
        <f>IF(OR(B7&gt;0.03,B8&gt;0.2),"NO - REVIEW FIRST","MAYBE - PREVIEW ONLY")</f>
        <v>NO - REVIEW FIRST</v>
      </c>
      <c r="G12" t="s">
        <v>1540</v>
      </c>
    </row>
    <row r="13" spans="1:12">
      <c r="A13" t="s">
        <v>951</v>
      </c>
      <c r="B13">
        <v>500</v>
      </c>
      <c r="C13" t="s">
        <v>1541</v>
      </c>
    </row>
    <row r="17" spans="1:7">
      <c r="A17" s="2" t="s">
        <v>1542</v>
      </c>
      <c r="B17" s="2" t="s">
        <v>1543</v>
      </c>
      <c r="C17" s="2" t="s">
        <v>1544</v>
      </c>
      <c r="D17" s="2" t="s">
        <v>1545</v>
      </c>
      <c r="E17" s="2" t="s">
        <v>1546</v>
      </c>
      <c r="F17" s="2" t="s">
        <v>1547</v>
      </c>
      <c r="G17" s="2" t="s">
        <v>1548</v>
      </c>
    </row>
    <row r="18" spans="1:7">
      <c r="A18" s="3" t="s">
        <v>1549</v>
      </c>
      <c r="B18" s="3">
        <v>1500</v>
      </c>
      <c r="C18" s="20">
        <v>0.02</v>
      </c>
      <c r="D18" s="20">
        <v>0.14000000000000001</v>
      </c>
      <c r="E18" s="20">
        <v>0.06</v>
      </c>
      <c r="F18" s="3">
        <v>45</v>
      </c>
      <c r="G18" s="3" t="s">
        <v>1550</v>
      </c>
    </row>
    <row r="19" spans="1:7">
      <c r="A19" s="3" t="s">
        <v>1551</v>
      </c>
      <c r="B19" s="3">
        <v>12000</v>
      </c>
      <c r="C19" s="20">
        <v>0.01</v>
      </c>
      <c r="D19" s="20">
        <v>0.1</v>
      </c>
      <c r="E19" s="20">
        <v>0.12</v>
      </c>
      <c r="F19" s="3">
        <v>80</v>
      </c>
      <c r="G19" s="3" t="s">
        <v>1552</v>
      </c>
    </row>
    <row r="20" spans="1:7">
      <c r="A20" s="3" t="s">
        <v>1553</v>
      </c>
      <c r="B20" s="3">
        <v>85000</v>
      </c>
      <c r="C20" s="20">
        <v>0.08</v>
      </c>
      <c r="D20" s="20">
        <v>0.22</v>
      </c>
      <c r="E20" s="20">
        <v>0.15</v>
      </c>
      <c r="F20" s="3">
        <v>800</v>
      </c>
      <c r="G20" s="3" t="s">
        <v>1554</v>
      </c>
    </row>
    <row r="21" spans="1:7">
      <c r="A21" s="3" t="s">
        <v>1555</v>
      </c>
      <c r="B21" s="3">
        <v>30000</v>
      </c>
      <c r="C21" s="20">
        <v>0.2</v>
      </c>
      <c r="D21" s="20">
        <v>0.12</v>
      </c>
      <c r="E21" s="20">
        <v>0.04</v>
      </c>
      <c r="F21" s="3">
        <v>250</v>
      </c>
      <c r="G21" s="3" t="s">
        <v>924</v>
      </c>
    </row>
    <row r="22" spans="1:7">
      <c r="A22" s="3" t="s">
        <v>1556</v>
      </c>
      <c r="B22" s="3">
        <v>50000</v>
      </c>
      <c r="C22" s="20">
        <v>0.04</v>
      </c>
      <c r="D22" s="20">
        <v>0.18</v>
      </c>
      <c r="E22" s="20">
        <v>0.05</v>
      </c>
      <c r="F22" s="3">
        <v>600</v>
      </c>
      <c r="G22" s="3" t="s">
        <v>1557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000-000000000000}">
          <x14:formula1>
            <xm:f>Lists!$L$5:$L$12</xm:f>
          </x14:formula1>
          <xm:sqref>B5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67"/>
  <sheetViews>
    <sheetView workbookViewId="0"/>
  </sheetViews>
  <sheetFormatPr defaultRowHeight="13.8"/>
  <cols>
    <col min="1" max="1" width="24" customWidth="1"/>
    <col min="2" max="2" width="18" customWidth="1"/>
    <col min="3" max="3" width="20" customWidth="1"/>
    <col min="4" max="4" width="22" customWidth="1"/>
    <col min="5" max="5" width="18" customWidth="1"/>
    <col min="6" max="6" width="22" customWidth="1"/>
    <col min="7" max="8" width="18" customWidth="1"/>
    <col min="9" max="9" width="22" customWidth="1"/>
    <col min="10" max="11" width="12" customWidth="1"/>
    <col min="12" max="12" width="14" customWidth="1"/>
  </cols>
  <sheetData>
    <row r="1" spans="1:12" ht="22.35" customHeight="1">
      <c r="A1" s="21" t="s">
        <v>1558</v>
      </c>
      <c r="B1" s="22"/>
      <c r="C1" s="22"/>
      <c r="D1" s="22"/>
      <c r="E1" s="22"/>
      <c r="F1" s="22"/>
      <c r="G1" s="22"/>
      <c r="H1" s="22"/>
    </row>
    <row r="2" spans="1:12" ht="22.35" customHeight="1">
      <c r="A2" s="23" t="s">
        <v>1559</v>
      </c>
      <c r="B2" s="22"/>
      <c r="C2" s="22"/>
      <c r="D2" s="22"/>
      <c r="E2" s="22"/>
      <c r="F2" s="22"/>
      <c r="G2" s="22"/>
      <c r="H2" s="22"/>
    </row>
    <row r="4" spans="1:12">
      <c r="A4" s="1" t="s">
        <v>8</v>
      </c>
      <c r="B4" s="1" t="s">
        <v>13</v>
      </c>
      <c r="C4" s="1" t="s">
        <v>18</v>
      </c>
      <c r="D4" s="1" t="s">
        <v>1560</v>
      </c>
      <c r="E4" s="1" t="s">
        <v>23</v>
      </c>
      <c r="F4" s="1" t="s">
        <v>1561</v>
      </c>
      <c r="G4" s="1" t="s">
        <v>1562</v>
      </c>
      <c r="H4" s="1" t="s">
        <v>1563</v>
      </c>
      <c r="I4" s="1" t="s">
        <v>1564</v>
      </c>
      <c r="J4" s="1" t="s">
        <v>61</v>
      </c>
      <c r="K4" s="1" t="s">
        <v>1565</v>
      </c>
      <c r="L4" s="1" t="s">
        <v>33</v>
      </c>
    </row>
    <row r="5" spans="1:12">
      <c r="A5" t="s">
        <v>102</v>
      </c>
      <c r="B5" t="s">
        <v>78</v>
      </c>
      <c r="C5" t="s">
        <v>576</v>
      </c>
      <c r="D5" t="s">
        <v>842</v>
      </c>
      <c r="E5" t="s">
        <v>914</v>
      </c>
      <c r="F5" t="s">
        <v>968</v>
      </c>
      <c r="G5" t="s">
        <v>43</v>
      </c>
      <c r="H5" t="s">
        <v>579</v>
      </c>
      <c r="I5" t="s">
        <v>83</v>
      </c>
      <c r="J5" t="s">
        <v>76</v>
      </c>
      <c r="K5" t="s">
        <v>75</v>
      </c>
      <c r="L5" t="s">
        <v>1346</v>
      </c>
    </row>
    <row r="6" spans="1:12">
      <c r="A6" t="s">
        <v>169</v>
      </c>
      <c r="B6" t="s">
        <v>436</v>
      </c>
      <c r="C6" t="s">
        <v>584</v>
      </c>
      <c r="D6" t="s">
        <v>847</v>
      </c>
      <c r="E6" t="s">
        <v>918</v>
      </c>
      <c r="F6" t="s">
        <v>973</v>
      </c>
      <c r="G6" t="s">
        <v>45</v>
      </c>
      <c r="H6" t="s">
        <v>594</v>
      </c>
      <c r="I6" t="s">
        <v>596</v>
      </c>
      <c r="J6" t="s">
        <v>1566</v>
      </c>
      <c r="K6" t="s">
        <v>119</v>
      </c>
      <c r="L6" t="s">
        <v>1353</v>
      </c>
    </row>
    <row r="7" spans="1:12">
      <c r="A7" t="s">
        <v>111</v>
      </c>
      <c r="B7" t="s">
        <v>440</v>
      </c>
      <c r="C7" t="s">
        <v>80</v>
      </c>
      <c r="D7" t="s">
        <v>852</v>
      </c>
      <c r="E7" t="s">
        <v>923</v>
      </c>
      <c r="F7" t="s">
        <v>978</v>
      </c>
      <c r="G7" t="s">
        <v>47</v>
      </c>
      <c r="H7" t="s">
        <v>600</v>
      </c>
      <c r="I7" t="s">
        <v>92</v>
      </c>
      <c r="L7" t="s">
        <v>1360</v>
      </c>
    </row>
    <row r="8" spans="1:12">
      <c r="A8" t="s">
        <v>77</v>
      </c>
      <c r="B8" t="s">
        <v>444</v>
      </c>
      <c r="C8" t="s">
        <v>105</v>
      </c>
      <c r="D8" t="s">
        <v>856</v>
      </c>
      <c r="E8" t="s">
        <v>115</v>
      </c>
      <c r="F8" t="s">
        <v>982</v>
      </c>
      <c r="G8" t="s">
        <v>49</v>
      </c>
      <c r="H8" t="s">
        <v>615</v>
      </c>
      <c r="I8" t="s">
        <v>1567</v>
      </c>
      <c r="L8" t="s">
        <v>1367</v>
      </c>
    </row>
    <row r="9" spans="1:12">
      <c r="A9" t="s">
        <v>183</v>
      </c>
      <c r="B9" t="s">
        <v>448</v>
      </c>
      <c r="C9" t="s">
        <v>209</v>
      </c>
      <c r="D9" t="s">
        <v>860</v>
      </c>
      <c r="E9" t="s">
        <v>107</v>
      </c>
      <c r="F9" t="s">
        <v>986</v>
      </c>
      <c r="G9" t="s">
        <v>51</v>
      </c>
      <c r="H9" t="s">
        <v>683</v>
      </c>
      <c r="I9" t="s">
        <v>116</v>
      </c>
      <c r="L9" t="s">
        <v>1374</v>
      </c>
    </row>
    <row r="10" spans="1:12">
      <c r="A10" t="s">
        <v>86</v>
      </c>
      <c r="B10" t="s">
        <v>452</v>
      </c>
      <c r="C10" t="s">
        <v>597</v>
      </c>
      <c r="D10" t="s">
        <v>108</v>
      </c>
      <c r="E10" t="s">
        <v>81</v>
      </c>
      <c r="F10" t="s">
        <v>990</v>
      </c>
      <c r="G10" t="s">
        <v>52</v>
      </c>
      <c r="L10" t="s">
        <v>1381</v>
      </c>
    </row>
    <row r="11" spans="1:12">
      <c r="A11" t="s">
        <v>190</v>
      </c>
      <c r="B11" t="s">
        <v>103</v>
      </c>
      <c r="C11" t="s">
        <v>89</v>
      </c>
      <c r="D11" t="s">
        <v>867</v>
      </c>
      <c r="E11" t="s">
        <v>938</v>
      </c>
      <c r="F11" t="s">
        <v>995</v>
      </c>
      <c r="G11" t="s">
        <v>53</v>
      </c>
      <c r="L11" t="s">
        <v>1387</v>
      </c>
    </row>
    <row r="12" spans="1:12">
      <c r="A12" t="s">
        <v>195</v>
      </c>
      <c r="B12" t="s">
        <v>459</v>
      </c>
      <c r="C12" t="s">
        <v>606</v>
      </c>
      <c r="D12" t="s">
        <v>91</v>
      </c>
      <c r="E12" t="s">
        <v>942</v>
      </c>
      <c r="F12" t="s">
        <v>999</v>
      </c>
      <c r="G12" t="s">
        <v>54</v>
      </c>
      <c r="L12" t="s">
        <v>1392</v>
      </c>
    </row>
    <row r="13" spans="1:12">
      <c r="A13" t="s">
        <v>199</v>
      </c>
      <c r="B13" t="s">
        <v>463</v>
      </c>
      <c r="C13" t="s">
        <v>98</v>
      </c>
      <c r="D13" t="s">
        <v>82</v>
      </c>
      <c r="E13" t="s">
        <v>946</v>
      </c>
      <c r="F13" t="s">
        <v>415</v>
      </c>
      <c r="G13" t="s">
        <v>55</v>
      </c>
    </row>
    <row r="14" spans="1:12">
      <c r="A14" t="s">
        <v>205</v>
      </c>
      <c r="B14" t="s">
        <v>87</v>
      </c>
      <c r="C14" t="s">
        <v>612</v>
      </c>
      <c r="D14" t="s">
        <v>877</v>
      </c>
      <c r="E14" t="s">
        <v>950</v>
      </c>
      <c r="F14" t="s">
        <v>1006</v>
      </c>
      <c r="G14" t="s">
        <v>56</v>
      </c>
    </row>
    <row r="15" spans="1:12">
      <c r="A15" t="s">
        <v>209</v>
      </c>
      <c r="B15" t="s">
        <v>470</v>
      </c>
      <c r="C15" t="s">
        <v>617</v>
      </c>
      <c r="D15" t="s">
        <v>652</v>
      </c>
      <c r="E15" t="s">
        <v>954</v>
      </c>
      <c r="F15" t="s">
        <v>1010</v>
      </c>
    </row>
    <row r="16" spans="1:12">
      <c r="A16" t="s">
        <v>215</v>
      </c>
      <c r="B16" t="s">
        <v>474</v>
      </c>
      <c r="C16" t="s">
        <v>113</v>
      </c>
      <c r="D16" t="s">
        <v>627</v>
      </c>
      <c r="E16" t="s">
        <v>958</v>
      </c>
      <c r="F16" t="s">
        <v>1014</v>
      </c>
    </row>
    <row r="17" spans="1:6">
      <c r="A17" t="s">
        <v>221</v>
      </c>
      <c r="B17" t="s">
        <v>478</v>
      </c>
      <c r="C17" t="s">
        <v>624</v>
      </c>
      <c r="D17" t="s">
        <v>887</v>
      </c>
      <c r="F17" t="s">
        <v>1017</v>
      </c>
    </row>
    <row r="18" spans="1:6">
      <c r="A18" t="s">
        <v>226</v>
      </c>
      <c r="B18" t="s">
        <v>482</v>
      </c>
      <c r="C18" t="s">
        <v>627</v>
      </c>
      <c r="D18" t="s">
        <v>642</v>
      </c>
    </row>
    <row r="19" spans="1:6">
      <c r="A19" t="s">
        <v>231</v>
      </c>
      <c r="B19" t="s">
        <v>486</v>
      </c>
      <c r="C19" t="s">
        <v>631</v>
      </c>
      <c r="D19" t="s">
        <v>689</v>
      </c>
    </row>
    <row r="20" spans="1:6">
      <c r="A20" t="s">
        <v>236</v>
      </c>
      <c r="B20" t="s">
        <v>490</v>
      </c>
      <c r="C20" t="s">
        <v>635</v>
      </c>
      <c r="D20" t="s">
        <v>897</v>
      </c>
    </row>
    <row r="21" spans="1:6">
      <c r="A21" t="s">
        <v>241</v>
      </c>
      <c r="B21" t="s">
        <v>494</v>
      </c>
      <c r="C21" t="s">
        <v>639</v>
      </c>
      <c r="D21" t="s">
        <v>902</v>
      </c>
    </row>
    <row r="22" spans="1:6">
      <c r="A22" t="s">
        <v>245</v>
      </c>
      <c r="B22" t="s">
        <v>498</v>
      </c>
      <c r="C22" t="s">
        <v>643</v>
      </c>
      <c r="D22" t="s">
        <v>693</v>
      </c>
    </row>
    <row r="23" spans="1:6">
      <c r="A23" t="s">
        <v>95</v>
      </c>
      <c r="B23" t="s">
        <v>501</v>
      </c>
      <c r="C23" t="s">
        <v>646</v>
      </c>
    </row>
    <row r="24" spans="1:6">
      <c r="A24" t="s">
        <v>253</v>
      </c>
      <c r="B24" t="s">
        <v>505</v>
      </c>
      <c r="C24" t="s">
        <v>649</v>
      </c>
    </row>
    <row r="25" spans="1:6">
      <c r="A25" t="s">
        <v>256</v>
      </c>
      <c r="B25" t="s">
        <v>509</v>
      </c>
      <c r="C25" t="s">
        <v>653</v>
      </c>
    </row>
    <row r="26" spans="1:6">
      <c r="A26" t="s">
        <v>261</v>
      </c>
      <c r="B26" t="s">
        <v>513</v>
      </c>
      <c r="C26" t="s">
        <v>656</v>
      </c>
    </row>
    <row r="27" spans="1:6">
      <c r="A27" t="s">
        <v>267</v>
      </c>
      <c r="B27" t="s">
        <v>517</v>
      </c>
      <c r="C27" t="s">
        <v>659</v>
      </c>
    </row>
    <row r="28" spans="1:6">
      <c r="A28" t="s">
        <v>271</v>
      </c>
      <c r="B28" t="s">
        <v>505</v>
      </c>
      <c r="C28" t="s">
        <v>663</v>
      </c>
    </row>
    <row r="29" spans="1:6">
      <c r="A29" t="s">
        <v>275</v>
      </c>
      <c r="B29" t="s">
        <v>524</v>
      </c>
      <c r="C29" t="s">
        <v>666</v>
      </c>
    </row>
    <row r="30" spans="1:6">
      <c r="A30" t="s">
        <v>279</v>
      </c>
      <c r="B30" t="s">
        <v>96</v>
      </c>
      <c r="C30" t="s">
        <v>670</v>
      </c>
    </row>
    <row r="31" spans="1:6">
      <c r="A31" t="s">
        <v>283</v>
      </c>
      <c r="B31" t="s">
        <v>531</v>
      </c>
      <c r="C31" t="s">
        <v>674</v>
      </c>
    </row>
    <row r="32" spans="1:6">
      <c r="A32" t="s">
        <v>287</v>
      </c>
      <c r="B32" t="s">
        <v>534</v>
      </c>
      <c r="C32" t="s">
        <v>677</v>
      </c>
    </row>
    <row r="33" spans="1:3">
      <c r="A33" t="s">
        <v>291</v>
      </c>
      <c r="B33" t="s">
        <v>537</v>
      </c>
      <c r="C33" t="s">
        <v>680</v>
      </c>
    </row>
    <row r="34" spans="1:3">
      <c r="A34" t="s">
        <v>295</v>
      </c>
      <c r="B34" t="s">
        <v>541</v>
      </c>
      <c r="C34" t="s">
        <v>686</v>
      </c>
    </row>
    <row r="35" spans="1:3">
      <c r="A35" t="s">
        <v>299</v>
      </c>
      <c r="B35" t="s">
        <v>545</v>
      </c>
      <c r="C35" t="s">
        <v>690</v>
      </c>
    </row>
    <row r="36" spans="1:3">
      <c r="A36" t="s">
        <v>304</v>
      </c>
      <c r="B36" t="s">
        <v>549</v>
      </c>
      <c r="C36" t="s">
        <v>694</v>
      </c>
    </row>
    <row r="37" spans="1:3">
      <c r="A37" t="s">
        <v>308</v>
      </c>
      <c r="B37" t="s">
        <v>553</v>
      </c>
    </row>
    <row r="38" spans="1:3">
      <c r="A38" t="s">
        <v>312</v>
      </c>
      <c r="B38" t="s">
        <v>557</v>
      </c>
    </row>
    <row r="39" spans="1:3">
      <c r="A39" t="s">
        <v>316</v>
      </c>
      <c r="B39" t="s">
        <v>561</v>
      </c>
    </row>
    <row r="40" spans="1:3">
      <c r="A40" t="s">
        <v>320</v>
      </c>
    </row>
    <row r="41" spans="1:3">
      <c r="A41" t="s">
        <v>325</v>
      </c>
    </row>
    <row r="42" spans="1:3">
      <c r="A42" t="s">
        <v>330</v>
      </c>
    </row>
    <row r="43" spans="1:3">
      <c r="A43" t="s">
        <v>334</v>
      </c>
    </row>
    <row r="44" spans="1:3">
      <c r="A44" t="s">
        <v>338</v>
      </c>
    </row>
    <row r="45" spans="1:3">
      <c r="A45" t="s">
        <v>342</v>
      </c>
    </row>
    <row r="46" spans="1:3">
      <c r="A46" t="s">
        <v>345</v>
      </c>
    </row>
    <row r="47" spans="1:3">
      <c r="A47" t="s">
        <v>349</v>
      </c>
    </row>
    <row r="48" spans="1:3">
      <c r="A48" t="s">
        <v>351</v>
      </c>
    </row>
    <row r="49" spans="1:1">
      <c r="A49" t="s">
        <v>353</v>
      </c>
    </row>
    <row r="50" spans="1:1">
      <c r="A50" t="s">
        <v>357</v>
      </c>
    </row>
    <row r="51" spans="1:1">
      <c r="A51" t="s">
        <v>362</v>
      </c>
    </row>
    <row r="52" spans="1:1">
      <c r="A52" t="s">
        <v>366</v>
      </c>
    </row>
    <row r="53" spans="1:1">
      <c r="A53" t="s">
        <v>371</v>
      </c>
    </row>
    <row r="54" spans="1:1">
      <c r="A54" t="s">
        <v>376</v>
      </c>
    </row>
    <row r="55" spans="1:1">
      <c r="A55" t="s">
        <v>380</v>
      </c>
    </row>
    <row r="56" spans="1:1">
      <c r="A56" t="s">
        <v>384</v>
      </c>
    </row>
    <row r="57" spans="1:1">
      <c r="A57" t="s">
        <v>388</v>
      </c>
    </row>
    <row r="58" spans="1:1">
      <c r="A58" t="s">
        <v>393</v>
      </c>
    </row>
    <row r="59" spans="1:1">
      <c r="A59" t="s">
        <v>397</v>
      </c>
    </row>
    <row r="60" spans="1:1">
      <c r="A60" t="s">
        <v>401</v>
      </c>
    </row>
    <row r="61" spans="1:1">
      <c r="A61" t="s">
        <v>406</v>
      </c>
    </row>
    <row r="62" spans="1:1">
      <c r="A62" t="s">
        <v>409</v>
      </c>
    </row>
    <row r="63" spans="1:1">
      <c r="A63" t="s">
        <v>412</v>
      </c>
    </row>
    <row r="64" spans="1:1">
      <c r="A64" t="s">
        <v>415</v>
      </c>
    </row>
    <row r="65" spans="1:1">
      <c r="A65" t="s">
        <v>418</v>
      </c>
    </row>
    <row r="66" spans="1:1">
      <c r="A66" t="s">
        <v>422</v>
      </c>
    </row>
    <row r="67" spans="1:1">
      <c r="A67" t="s">
        <v>425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7"/>
  <sheetViews>
    <sheetView workbookViewId="0"/>
  </sheetViews>
  <sheetFormatPr defaultRowHeight="13.8"/>
  <cols>
    <col min="1" max="1" width="24" customWidth="1"/>
    <col min="2" max="2" width="36" customWidth="1"/>
    <col min="3" max="3" width="2" customWidth="1"/>
    <col min="4" max="4" width="12" customWidth="1"/>
    <col min="5" max="5" width="32" customWidth="1"/>
    <col min="6" max="7" width="36" customWidth="1"/>
    <col min="8" max="8" width="26" customWidth="1"/>
    <col min="9" max="9" width="24" customWidth="1"/>
    <col min="10" max="10" width="48" customWidth="1"/>
  </cols>
  <sheetData>
    <row r="1" spans="1:10" ht="22.35" customHeight="1">
      <c r="A1" s="21" t="s">
        <v>1568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35" customHeight="1">
      <c r="A2" s="23" t="s">
        <v>736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10" t="s">
        <v>1569</v>
      </c>
      <c r="B4" s="10" t="s">
        <v>1570</v>
      </c>
      <c r="D4" s="5" t="s">
        <v>1571</v>
      </c>
      <c r="E4" s="5" t="s">
        <v>5</v>
      </c>
      <c r="F4" s="5" t="s">
        <v>1572</v>
      </c>
      <c r="G4" s="5" t="s">
        <v>1573</v>
      </c>
      <c r="H4" s="5" t="s">
        <v>1574</v>
      </c>
      <c r="I4" s="5" t="s">
        <v>1506</v>
      </c>
    </row>
    <row r="5" spans="1:10">
      <c r="A5" s="15" t="s">
        <v>1575</v>
      </c>
      <c r="B5" s="15"/>
      <c r="D5" s="3" t="s">
        <v>1576</v>
      </c>
      <c r="E5" s="3" t="s">
        <v>1577</v>
      </c>
      <c r="F5" s="3" t="s">
        <v>1578</v>
      </c>
      <c r="G5" s="3" t="s">
        <v>1579</v>
      </c>
      <c r="H5" s="3" t="s">
        <v>1580</v>
      </c>
      <c r="I5" s="3" t="s">
        <v>1581</v>
      </c>
    </row>
    <row r="6" spans="1:10">
      <c r="A6" s="15" t="s">
        <v>1582</v>
      </c>
      <c r="B6" s="15"/>
      <c r="D6" s="3" t="s">
        <v>1583</v>
      </c>
      <c r="E6" s="3" t="s">
        <v>1584</v>
      </c>
      <c r="F6" s="3" t="s">
        <v>1585</v>
      </c>
      <c r="G6" s="3" t="s">
        <v>1586</v>
      </c>
      <c r="H6" s="3" t="s">
        <v>1587</v>
      </c>
      <c r="I6" s="3" t="s">
        <v>673</v>
      </c>
    </row>
    <row r="7" spans="1:10">
      <c r="A7" s="15" t="s">
        <v>1588</v>
      </c>
      <c r="B7" s="15"/>
      <c r="D7" s="3" t="s">
        <v>1589</v>
      </c>
      <c r="E7" s="3" t="s">
        <v>1590</v>
      </c>
      <c r="F7" s="3" t="s">
        <v>1591</v>
      </c>
      <c r="G7" s="3" t="s">
        <v>1592</v>
      </c>
      <c r="H7" s="3" t="s">
        <v>82</v>
      </c>
      <c r="I7" s="3" t="s">
        <v>1593</v>
      </c>
    </row>
    <row r="8" spans="1:10">
      <c r="A8" s="15" t="s">
        <v>1594</v>
      </c>
      <c r="B8" s="15"/>
      <c r="D8" s="3" t="s">
        <v>1595</v>
      </c>
      <c r="E8" s="3" t="s">
        <v>1596</v>
      </c>
      <c r="F8" s="3" t="s">
        <v>1597</v>
      </c>
      <c r="G8" s="3" t="s">
        <v>1598</v>
      </c>
      <c r="H8" s="3" t="s">
        <v>689</v>
      </c>
      <c r="I8" s="3" t="s">
        <v>1599</v>
      </c>
    </row>
    <row r="9" spans="1:10">
      <c r="A9" s="15" t="s">
        <v>1600</v>
      </c>
      <c r="B9" s="15"/>
      <c r="D9" s="3" t="s">
        <v>1601</v>
      </c>
      <c r="E9" s="3" t="s">
        <v>1602</v>
      </c>
      <c r="F9" s="3" t="s">
        <v>1603</v>
      </c>
      <c r="G9" s="3" t="s">
        <v>1604</v>
      </c>
      <c r="H9" s="3" t="s">
        <v>1605</v>
      </c>
      <c r="I9" s="3" t="s">
        <v>1606</v>
      </c>
    </row>
    <row r="10" spans="1:10">
      <c r="A10" s="15" t="s">
        <v>1607</v>
      </c>
      <c r="B10" s="15"/>
    </row>
    <row r="16" spans="1:10" ht="138">
      <c r="A16" s="7" t="s">
        <v>1071</v>
      </c>
      <c r="B16" s="7" t="s">
        <v>1072</v>
      </c>
      <c r="C16" s="7" t="s">
        <v>1073</v>
      </c>
      <c r="D16" s="7" t="s">
        <v>1074</v>
      </c>
      <c r="E16" s="7" t="s">
        <v>841</v>
      </c>
      <c r="F16" s="7" t="s">
        <v>1075</v>
      </c>
      <c r="H16" s="4" t="s">
        <v>1608</v>
      </c>
      <c r="I16" s="4" t="s">
        <v>3</v>
      </c>
    </row>
    <row r="17" spans="1:9" ht="41.4">
      <c r="A17" s="3" t="s">
        <v>576</v>
      </c>
      <c r="B17" s="3" t="s">
        <v>80</v>
      </c>
      <c r="C17" s="3" t="s">
        <v>581</v>
      </c>
      <c r="D17" s="3" t="s">
        <v>1076</v>
      </c>
      <c r="E17" s="3" t="s">
        <v>594</v>
      </c>
      <c r="F17" s="3" t="s">
        <v>1077</v>
      </c>
      <c r="H17" s="3" t="s">
        <v>566</v>
      </c>
      <c r="I17" s="3" t="s">
        <v>576</v>
      </c>
    </row>
    <row r="18" spans="1:9" ht="55.2">
      <c r="A18" s="3" t="s">
        <v>576</v>
      </c>
      <c r="B18" s="3" t="s">
        <v>89</v>
      </c>
      <c r="C18" s="3" t="s">
        <v>580</v>
      </c>
      <c r="D18" s="3" t="s">
        <v>1078</v>
      </c>
      <c r="E18" s="3" t="s">
        <v>615</v>
      </c>
      <c r="F18" s="3" t="s">
        <v>1079</v>
      </c>
      <c r="H18" s="3" t="s">
        <v>567</v>
      </c>
      <c r="I18" s="3" t="s">
        <v>577</v>
      </c>
    </row>
    <row r="19" spans="1:9">
      <c r="H19" s="3" t="s">
        <v>568</v>
      </c>
      <c r="I19" s="3" t="s">
        <v>51</v>
      </c>
    </row>
    <row r="20" spans="1:9" ht="27.6">
      <c r="H20" s="3" t="s">
        <v>160</v>
      </c>
      <c r="I20" s="3" t="s">
        <v>578</v>
      </c>
    </row>
    <row r="21" spans="1:9">
      <c r="H21" s="3" t="s">
        <v>569</v>
      </c>
      <c r="I21" s="3" t="s">
        <v>579</v>
      </c>
    </row>
    <row r="22" spans="1:9">
      <c r="H22" s="3" t="s">
        <v>570</v>
      </c>
      <c r="I22" s="3" t="s">
        <v>580</v>
      </c>
    </row>
    <row r="23" spans="1:9">
      <c r="H23" s="3" t="s">
        <v>571</v>
      </c>
      <c r="I23" s="3" t="s">
        <v>580</v>
      </c>
    </row>
    <row r="24" spans="1:9">
      <c r="H24" s="3" t="s">
        <v>572</v>
      </c>
      <c r="I24" s="3" t="s">
        <v>581</v>
      </c>
    </row>
    <row r="25" spans="1:9">
      <c r="H25" s="3" t="s">
        <v>573</v>
      </c>
      <c r="I25" s="3" t="s">
        <v>582</v>
      </c>
    </row>
    <row r="26" spans="1:9">
      <c r="H26" s="3" t="s">
        <v>574</v>
      </c>
      <c r="I26" s="3" t="s">
        <v>83</v>
      </c>
    </row>
    <row r="27" spans="1:9">
      <c r="H27" s="3" t="s">
        <v>575</v>
      </c>
      <c r="I27" s="3" t="s">
        <v>583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7"/>
  <sheetViews>
    <sheetView workbookViewId="0"/>
  </sheetViews>
  <sheetFormatPr defaultRowHeight="13.8"/>
  <cols>
    <col min="1" max="1" width="24" customWidth="1"/>
    <col min="2" max="2" width="36" customWidth="1"/>
    <col min="3" max="3" width="2" customWidth="1"/>
    <col min="4" max="4" width="12" customWidth="1"/>
    <col min="5" max="5" width="32" customWidth="1"/>
    <col min="6" max="7" width="36" customWidth="1"/>
    <col min="8" max="8" width="26" customWidth="1"/>
    <col min="9" max="9" width="24" customWidth="1"/>
    <col min="10" max="10" width="48" customWidth="1"/>
  </cols>
  <sheetData>
    <row r="1" spans="1:10" ht="22.35" customHeight="1">
      <c r="A1" s="21" t="s">
        <v>1609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35" customHeight="1">
      <c r="A2" s="23" t="s">
        <v>744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10" t="s">
        <v>1569</v>
      </c>
      <c r="B4" s="10" t="s">
        <v>1570</v>
      </c>
      <c r="D4" s="5" t="s">
        <v>1571</v>
      </c>
      <c r="E4" s="5" t="s">
        <v>5</v>
      </c>
      <c r="F4" s="5" t="s">
        <v>1572</v>
      </c>
      <c r="G4" s="5" t="s">
        <v>1573</v>
      </c>
      <c r="H4" s="5" t="s">
        <v>1574</v>
      </c>
      <c r="I4" s="5" t="s">
        <v>1506</v>
      </c>
    </row>
    <row r="5" spans="1:10">
      <c r="A5" s="15" t="s">
        <v>1610</v>
      </c>
      <c r="B5" s="15"/>
      <c r="D5" s="3" t="s">
        <v>1576</v>
      </c>
      <c r="E5" s="3" t="s">
        <v>1611</v>
      </c>
      <c r="F5" s="3" t="s">
        <v>1612</v>
      </c>
      <c r="G5" s="3" t="s">
        <v>1613</v>
      </c>
      <c r="H5" s="3" t="s">
        <v>82</v>
      </c>
      <c r="I5" s="3" t="s">
        <v>1614</v>
      </c>
    </row>
    <row r="6" spans="1:10">
      <c r="A6" s="15" t="s">
        <v>1615</v>
      </c>
      <c r="B6" s="15"/>
      <c r="D6" s="3" t="s">
        <v>1583</v>
      </c>
      <c r="E6" s="3" t="s">
        <v>1616</v>
      </c>
      <c r="F6" s="3" t="s">
        <v>1617</v>
      </c>
      <c r="G6" s="3" t="s">
        <v>1618</v>
      </c>
      <c r="H6" s="3" t="s">
        <v>108</v>
      </c>
      <c r="I6" s="3" t="s">
        <v>1619</v>
      </c>
    </row>
    <row r="7" spans="1:10">
      <c r="A7" s="15" t="s">
        <v>1620</v>
      </c>
      <c r="B7" s="15"/>
      <c r="D7" s="3" t="s">
        <v>1589</v>
      </c>
      <c r="E7" s="3" t="s">
        <v>1621</v>
      </c>
      <c r="F7" s="3" t="s">
        <v>1622</v>
      </c>
      <c r="G7" s="3" t="s">
        <v>1623</v>
      </c>
      <c r="H7" s="3" t="s">
        <v>689</v>
      </c>
      <c r="I7" s="3" t="s">
        <v>1489</v>
      </c>
    </row>
    <row r="8" spans="1:10">
      <c r="A8" s="15" t="s">
        <v>1624</v>
      </c>
      <c r="B8" s="15"/>
      <c r="D8" s="3" t="s">
        <v>1595</v>
      </c>
      <c r="E8" s="3" t="s">
        <v>1625</v>
      </c>
      <c r="F8" s="3" t="s">
        <v>1626</v>
      </c>
      <c r="G8" s="3" t="s">
        <v>1627</v>
      </c>
      <c r="H8" s="3" t="s">
        <v>620</v>
      </c>
      <c r="I8" s="3" t="s">
        <v>1628</v>
      </c>
    </row>
    <row r="9" spans="1:10">
      <c r="A9" s="15" t="s">
        <v>1629</v>
      </c>
      <c r="B9" s="15"/>
      <c r="D9" s="3" t="s">
        <v>1601</v>
      </c>
      <c r="E9" s="3" t="s">
        <v>1630</v>
      </c>
      <c r="F9" s="3" t="s">
        <v>1631</v>
      </c>
      <c r="G9" s="3" t="s">
        <v>1632</v>
      </c>
      <c r="H9" s="3" t="s">
        <v>82</v>
      </c>
      <c r="I9" s="3" t="s">
        <v>1633</v>
      </c>
    </row>
    <row r="16" spans="1:10" ht="138">
      <c r="A16" s="7" t="s">
        <v>1071</v>
      </c>
      <c r="B16" s="7" t="s">
        <v>1072</v>
      </c>
      <c r="C16" s="7" t="s">
        <v>1073</v>
      </c>
      <c r="D16" s="7" t="s">
        <v>1074</v>
      </c>
      <c r="E16" s="7" t="s">
        <v>841</v>
      </c>
      <c r="F16" s="7" t="s">
        <v>1075</v>
      </c>
      <c r="H16" s="4" t="s">
        <v>1608</v>
      </c>
      <c r="I16" s="4" t="s">
        <v>3</v>
      </c>
    </row>
    <row r="17" spans="1:9" ht="41.4">
      <c r="A17" s="3" t="s">
        <v>576</v>
      </c>
      <c r="B17" s="3" t="s">
        <v>80</v>
      </c>
      <c r="C17" s="3" t="s">
        <v>581</v>
      </c>
      <c r="D17" s="3" t="s">
        <v>1076</v>
      </c>
      <c r="E17" s="3" t="s">
        <v>594</v>
      </c>
      <c r="F17" s="3" t="s">
        <v>1077</v>
      </c>
      <c r="H17" s="3" t="s">
        <v>566</v>
      </c>
      <c r="I17" s="3" t="s">
        <v>80</v>
      </c>
    </row>
    <row r="18" spans="1:9" ht="41.4">
      <c r="A18" s="3" t="s">
        <v>80</v>
      </c>
      <c r="B18" s="3" t="s">
        <v>209</v>
      </c>
      <c r="C18" s="3" t="s">
        <v>581</v>
      </c>
      <c r="D18" s="3" t="s">
        <v>1097</v>
      </c>
      <c r="E18" s="3" t="s">
        <v>594</v>
      </c>
      <c r="F18" s="3" t="s">
        <v>1098</v>
      </c>
      <c r="H18" s="3" t="s">
        <v>567</v>
      </c>
      <c r="I18" s="3" t="s">
        <v>587</v>
      </c>
    </row>
    <row r="19" spans="1:9" ht="55.2">
      <c r="A19" s="3" t="s">
        <v>649</v>
      </c>
      <c r="B19" s="3" t="s">
        <v>80</v>
      </c>
      <c r="C19" s="3" t="s">
        <v>581</v>
      </c>
      <c r="D19" s="3" t="s">
        <v>1107</v>
      </c>
      <c r="E19" s="3" t="s">
        <v>594</v>
      </c>
      <c r="F19" s="3" t="s">
        <v>1108</v>
      </c>
      <c r="H19" s="3" t="s">
        <v>568</v>
      </c>
      <c r="I19" s="3" t="s">
        <v>45</v>
      </c>
    </row>
    <row r="20" spans="1:9" ht="55.2">
      <c r="A20" s="3" t="s">
        <v>653</v>
      </c>
      <c r="B20" s="3" t="s">
        <v>80</v>
      </c>
      <c r="C20" s="3" t="s">
        <v>581</v>
      </c>
      <c r="D20" s="3" t="s">
        <v>1109</v>
      </c>
      <c r="E20" s="3" t="s">
        <v>594</v>
      </c>
      <c r="F20" s="3" t="s">
        <v>1108</v>
      </c>
      <c r="H20" s="3" t="s">
        <v>160</v>
      </c>
      <c r="I20" s="3" t="s">
        <v>588</v>
      </c>
    </row>
    <row r="21" spans="1:9">
      <c r="H21" s="3" t="s">
        <v>569</v>
      </c>
      <c r="I21" s="3" t="s">
        <v>579</v>
      </c>
    </row>
    <row r="22" spans="1:9">
      <c r="H22" s="3" t="s">
        <v>570</v>
      </c>
      <c r="I22" s="3" t="s">
        <v>580</v>
      </c>
    </row>
    <row r="23" spans="1:9">
      <c r="H23" s="3" t="s">
        <v>571</v>
      </c>
      <c r="I23" s="3" t="s">
        <v>580</v>
      </c>
    </row>
    <row r="24" spans="1:9">
      <c r="H24" s="3" t="s">
        <v>572</v>
      </c>
      <c r="I24" s="3" t="s">
        <v>581</v>
      </c>
    </row>
    <row r="25" spans="1:9">
      <c r="H25" s="3" t="s">
        <v>573</v>
      </c>
      <c r="I25" s="3" t="s">
        <v>582</v>
      </c>
    </row>
    <row r="26" spans="1:9">
      <c r="H26" s="3" t="s">
        <v>574</v>
      </c>
      <c r="I26" s="3" t="s">
        <v>83</v>
      </c>
    </row>
    <row r="27" spans="1:9">
      <c r="H27" s="3" t="s">
        <v>575</v>
      </c>
      <c r="I27" s="3" t="s">
        <v>589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7"/>
  <sheetViews>
    <sheetView workbookViewId="0"/>
  </sheetViews>
  <sheetFormatPr defaultRowHeight="13.8"/>
  <cols>
    <col min="1" max="1" width="24" customWidth="1"/>
    <col min="2" max="2" width="36" customWidth="1"/>
    <col min="3" max="3" width="2" customWidth="1"/>
    <col min="4" max="4" width="12" customWidth="1"/>
    <col min="5" max="5" width="32" customWidth="1"/>
    <col min="6" max="7" width="36" customWidth="1"/>
    <col min="8" max="8" width="26" customWidth="1"/>
    <col min="9" max="9" width="24" customWidth="1"/>
    <col min="10" max="10" width="48" customWidth="1"/>
  </cols>
  <sheetData>
    <row r="1" spans="1:10" ht="22.35" customHeight="1">
      <c r="A1" s="21" t="s">
        <v>1634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35" customHeight="1">
      <c r="A2" s="23" t="s">
        <v>752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10" t="s">
        <v>1569</v>
      </c>
      <c r="B4" s="10" t="s">
        <v>1570</v>
      </c>
      <c r="D4" s="5" t="s">
        <v>1571</v>
      </c>
      <c r="E4" s="5" t="s">
        <v>5</v>
      </c>
      <c r="F4" s="5" t="s">
        <v>1572</v>
      </c>
      <c r="G4" s="5" t="s">
        <v>1573</v>
      </c>
      <c r="H4" s="5" t="s">
        <v>1574</v>
      </c>
      <c r="I4" s="5" t="s">
        <v>1506</v>
      </c>
    </row>
    <row r="5" spans="1:10">
      <c r="A5" s="15" t="s">
        <v>1635</v>
      </c>
      <c r="B5" s="15"/>
      <c r="D5" s="3" t="s">
        <v>1576</v>
      </c>
      <c r="E5" s="3" t="s">
        <v>1636</v>
      </c>
      <c r="F5" s="3" t="s">
        <v>1637</v>
      </c>
      <c r="G5" s="3" t="s">
        <v>1638</v>
      </c>
      <c r="H5" s="3" t="s">
        <v>82</v>
      </c>
      <c r="I5" s="3" t="s">
        <v>1639</v>
      </c>
    </row>
    <row r="6" spans="1:10">
      <c r="A6" s="15" t="s">
        <v>1640</v>
      </c>
      <c r="B6" s="15"/>
      <c r="D6" s="3" t="s">
        <v>1583</v>
      </c>
      <c r="E6" s="3" t="s">
        <v>1641</v>
      </c>
      <c r="F6" s="3" t="s">
        <v>1642</v>
      </c>
      <c r="G6" s="3" t="s">
        <v>1643</v>
      </c>
      <c r="H6" s="3" t="s">
        <v>82</v>
      </c>
      <c r="I6" s="3" t="s">
        <v>652</v>
      </c>
    </row>
    <row r="7" spans="1:10">
      <c r="A7" s="15" t="s">
        <v>1644</v>
      </c>
      <c r="B7" s="15"/>
      <c r="D7" s="3" t="s">
        <v>1589</v>
      </c>
      <c r="E7" s="3" t="s">
        <v>1645</v>
      </c>
      <c r="F7" s="3" t="s">
        <v>1646</v>
      </c>
      <c r="G7" s="3" t="s">
        <v>1647</v>
      </c>
      <c r="H7" s="3" t="s">
        <v>620</v>
      </c>
      <c r="I7" s="3" t="s">
        <v>715</v>
      </c>
    </row>
    <row r="8" spans="1:10">
      <c r="A8" s="15" t="s">
        <v>72</v>
      </c>
      <c r="B8" s="15"/>
      <c r="D8" s="3" t="s">
        <v>1595</v>
      </c>
      <c r="E8" s="3" t="s">
        <v>1648</v>
      </c>
      <c r="F8" s="3" t="s">
        <v>1649</v>
      </c>
      <c r="G8" s="3" t="s">
        <v>1650</v>
      </c>
      <c r="H8" s="3" t="s">
        <v>82</v>
      </c>
      <c r="I8" s="3" t="s">
        <v>1651</v>
      </c>
    </row>
    <row r="9" spans="1:10">
      <c r="A9" s="15" t="s">
        <v>1652</v>
      </c>
      <c r="B9" s="15"/>
      <c r="D9" s="3" t="s">
        <v>1601</v>
      </c>
      <c r="E9" s="3" t="s">
        <v>1653</v>
      </c>
      <c r="F9" s="3" t="s">
        <v>1654</v>
      </c>
      <c r="G9" s="3" t="s">
        <v>934</v>
      </c>
      <c r="H9" s="3" t="s">
        <v>694</v>
      </c>
      <c r="I9" s="3" t="s">
        <v>1655</v>
      </c>
    </row>
    <row r="16" spans="1:10" ht="138">
      <c r="A16" s="7" t="s">
        <v>1071</v>
      </c>
      <c r="B16" s="7" t="s">
        <v>1072</v>
      </c>
      <c r="C16" s="7" t="s">
        <v>1073</v>
      </c>
      <c r="D16" s="7" t="s">
        <v>1074</v>
      </c>
      <c r="E16" s="7" t="s">
        <v>841</v>
      </c>
      <c r="F16" s="7" t="s">
        <v>1075</v>
      </c>
      <c r="H16" s="4" t="s">
        <v>1608</v>
      </c>
      <c r="I16" s="4" t="s">
        <v>3</v>
      </c>
    </row>
    <row r="17" spans="1:9" ht="41.4">
      <c r="A17" s="3" t="s">
        <v>80</v>
      </c>
      <c r="B17" s="3" t="s">
        <v>209</v>
      </c>
      <c r="C17" s="3" t="s">
        <v>581</v>
      </c>
      <c r="D17" s="3" t="s">
        <v>1097</v>
      </c>
      <c r="E17" s="3" t="s">
        <v>594</v>
      </c>
      <c r="F17" s="3" t="s">
        <v>1098</v>
      </c>
      <c r="H17" s="3" t="s">
        <v>566</v>
      </c>
      <c r="I17" s="3" t="s">
        <v>209</v>
      </c>
    </row>
    <row r="18" spans="1:9" ht="41.4">
      <c r="A18" s="3" t="s">
        <v>209</v>
      </c>
      <c r="B18" s="3" t="s">
        <v>89</v>
      </c>
      <c r="C18" s="3" t="s">
        <v>581</v>
      </c>
      <c r="D18" s="3" t="s">
        <v>1099</v>
      </c>
      <c r="E18" s="3" t="s">
        <v>600</v>
      </c>
      <c r="F18" s="3" t="s">
        <v>1100</v>
      </c>
      <c r="H18" s="3" t="s">
        <v>567</v>
      </c>
      <c r="I18" s="3" t="s">
        <v>210</v>
      </c>
    </row>
    <row r="19" spans="1:9">
      <c r="H19" s="3" t="s">
        <v>568</v>
      </c>
      <c r="I19" s="3" t="s">
        <v>53</v>
      </c>
    </row>
    <row r="20" spans="1:9" ht="27.6">
      <c r="H20" s="3" t="s">
        <v>160</v>
      </c>
      <c r="I20" s="3" t="s">
        <v>593</v>
      </c>
    </row>
    <row r="21" spans="1:9">
      <c r="H21" s="3" t="s">
        <v>569</v>
      </c>
      <c r="I21" s="3" t="s">
        <v>594</v>
      </c>
    </row>
    <row r="22" spans="1:9">
      <c r="H22" s="3" t="s">
        <v>570</v>
      </c>
      <c r="I22" s="3" t="s">
        <v>581</v>
      </c>
    </row>
    <row r="23" spans="1:9">
      <c r="H23" s="3" t="s">
        <v>571</v>
      </c>
      <c r="I23" s="3" t="s">
        <v>595</v>
      </c>
    </row>
    <row r="24" spans="1:9">
      <c r="H24" s="3" t="s">
        <v>572</v>
      </c>
      <c r="I24" s="3" t="s">
        <v>581</v>
      </c>
    </row>
    <row r="25" spans="1:9">
      <c r="H25" s="3" t="s">
        <v>573</v>
      </c>
      <c r="I25" s="3" t="s">
        <v>581</v>
      </c>
    </row>
    <row r="26" spans="1:9">
      <c r="H26" s="3" t="s">
        <v>574</v>
      </c>
      <c r="I26" s="3" t="s">
        <v>596</v>
      </c>
    </row>
    <row r="27" spans="1:9">
      <c r="H27" s="3" t="s">
        <v>575</v>
      </c>
      <c r="I27" s="3" t="s">
        <v>589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workbookViewId="0"/>
  </sheetViews>
  <sheetFormatPr defaultRowHeight="13.8"/>
  <cols>
    <col min="1" max="1" width="24" customWidth="1"/>
    <col min="2" max="2" width="36" customWidth="1"/>
    <col min="3" max="3" width="2" customWidth="1"/>
    <col min="4" max="4" width="12" customWidth="1"/>
    <col min="5" max="5" width="32" customWidth="1"/>
    <col min="6" max="7" width="36" customWidth="1"/>
    <col min="8" max="8" width="26" customWidth="1"/>
    <col min="9" max="9" width="24" customWidth="1"/>
    <col min="10" max="10" width="48" customWidth="1"/>
  </cols>
  <sheetData>
    <row r="1" spans="1:10" ht="22.35" customHeight="1">
      <c r="A1" s="21" t="s">
        <v>1656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35" customHeight="1">
      <c r="A2" s="23" t="s">
        <v>759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10" t="s">
        <v>1569</v>
      </c>
      <c r="B4" s="10" t="s">
        <v>1570</v>
      </c>
      <c r="D4" s="5" t="s">
        <v>1571</v>
      </c>
      <c r="E4" s="5" t="s">
        <v>5</v>
      </c>
      <c r="F4" s="5" t="s">
        <v>1572</v>
      </c>
      <c r="G4" s="5" t="s">
        <v>1573</v>
      </c>
      <c r="H4" s="5" t="s">
        <v>1574</v>
      </c>
      <c r="I4" s="5" t="s">
        <v>1506</v>
      </c>
    </row>
    <row r="5" spans="1:10">
      <c r="A5" s="15" t="s">
        <v>1657</v>
      </c>
      <c r="B5" s="15"/>
      <c r="D5" s="3" t="s">
        <v>1576</v>
      </c>
      <c r="E5" s="3" t="s">
        <v>1658</v>
      </c>
      <c r="F5" s="3" t="s">
        <v>1659</v>
      </c>
      <c r="G5" s="3" t="s">
        <v>1660</v>
      </c>
      <c r="H5" s="3" t="s">
        <v>82</v>
      </c>
      <c r="I5" s="3" t="s">
        <v>1661</v>
      </c>
    </row>
    <row r="6" spans="1:10">
      <c r="A6" s="15" t="s">
        <v>1662</v>
      </c>
      <c r="B6" s="15"/>
      <c r="D6" s="3" t="s">
        <v>1583</v>
      </c>
      <c r="E6" s="3" t="s">
        <v>1663</v>
      </c>
      <c r="F6" s="3" t="s">
        <v>1664</v>
      </c>
      <c r="G6" s="3" t="s">
        <v>1665</v>
      </c>
      <c r="H6" s="3" t="s">
        <v>82</v>
      </c>
      <c r="I6" s="3" t="s">
        <v>1666</v>
      </c>
    </row>
    <row r="7" spans="1:10">
      <c r="A7" s="15" t="s">
        <v>1667</v>
      </c>
      <c r="B7" s="15"/>
      <c r="D7" s="3" t="s">
        <v>1589</v>
      </c>
      <c r="E7" s="3" t="s">
        <v>1668</v>
      </c>
      <c r="F7" s="3" t="s">
        <v>1669</v>
      </c>
      <c r="G7" s="3" t="s">
        <v>1670</v>
      </c>
      <c r="H7" s="3" t="s">
        <v>652</v>
      </c>
      <c r="I7" s="3" t="s">
        <v>1671</v>
      </c>
    </row>
    <row r="8" spans="1:10">
      <c r="A8" s="15" t="s">
        <v>1672</v>
      </c>
      <c r="B8" s="15"/>
      <c r="D8" s="3" t="s">
        <v>1595</v>
      </c>
      <c r="E8" s="3" t="s">
        <v>1673</v>
      </c>
      <c r="F8" s="3" t="s">
        <v>1674</v>
      </c>
      <c r="G8" s="3" t="s">
        <v>934</v>
      </c>
      <c r="H8" s="3" t="s">
        <v>620</v>
      </c>
      <c r="I8" s="3" t="s">
        <v>715</v>
      </c>
    </row>
    <row r="9" spans="1:10">
      <c r="A9" s="15" t="s">
        <v>1620</v>
      </c>
      <c r="B9" s="15"/>
      <c r="D9" s="3" t="s">
        <v>1601</v>
      </c>
      <c r="E9" s="3" t="s">
        <v>1675</v>
      </c>
      <c r="F9" s="3" t="s">
        <v>1676</v>
      </c>
      <c r="G9" s="3" t="s">
        <v>1677</v>
      </c>
      <c r="H9" s="3" t="s">
        <v>673</v>
      </c>
      <c r="I9" s="3" t="s">
        <v>1678</v>
      </c>
    </row>
    <row r="16" spans="1:10" ht="138">
      <c r="A16" s="7" t="s">
        <v>1071</v>
      </c>
      <c r="B16" s="7" t="s">
        <v>1072</v>
      </c>
      <c r="C16" s="7" t="s">
        <v>1073</v>
      </c>
      <c r="D16" s="7" t="s">
        <v>1074</v>
      </c>
      <c r="E16" s="7" t="s">
        <v>841</v>
      </c>
      <c r="F16" s="7" t="s">
        <v>1075</v>
      </c>
      <c r="H16" s="4" t="s">
        <v>1608</v>
      </c>
      <c r="I16" s="4" t="s">
        <v>3</v>
      </c>
    </row>
    <row r="17" spans="1:9" ht="138">
      <c r="A17" s="3" t="s">
        <v>597</v>
      </c>
      <c r="B17" s="3" t="s">
        <v>89</v>
      </c>
      <c r="C17" s="3" t="s">
        <v>1083</v>
      </c>
      <c r="D17" s="3" t="s">
        <v>1086</v>
      </c>
      <c r="E17" s="3" t="s">
        <v>600</v>
      </c>
      <c r="F17" s="3" t="s">
        <v>1087</v>
      </c>
      <c r="H17" s="3" t="s">
        <v>566</v>
      </c>
      <c r="I17" s="3" t="s">
        <v>597</v>
      </c>
    </row>
    <row r="18" spans="1:9" ht="82.8">
      <c r="A18" s="3" t="s">
        <v>113</v>
      </c>
      <c r="B18" s="3" t="s">
        <v>597</v>
      </c>
      <c r="C18" s="3" t="s">
        <v>1092</v>
      </c>
      <c r="D18" s="3" t="s">
        <v>1095</v>
      </c>
      <c r="E18" s="3" t="s">
        <v>683</v>
      </c>
      <c r="F18" s="3" t="s">
        <v>1094</v>
      </c>
      <c r="H18" s="3" t="s">
        <v>567</v>
      </c>
      <c r="I18" s="3" t="s">
        <v>598</v>
      </c>
    </row>
    <row r="19" spans="1:9">
      <c r="H19" s="3" t="s">
        <v>568</v>
      </c>
      <c r="I19" s="3" t="s">
        <v>43</v>
      </c>
    </row>
    <row r="20" spans="1:9" ht="27.6">
      <c r="H20" s="3" t="s">
        <v>160</v>
      </c>
      <c r="I20" s="3" t="s">
        <v>599</v>
      </c>
    </row>
    <row r="21" spans="1:9">
      <c r="H21" s="3" t="s">
        <v>569</v>
      </c>
      <c r="I21" s="3" t="s">
        <v>600</v>
      </c>
    </row>
    <row r="22" spans="1:9">
      <c r="H22" s="3" t="s">
        <v>570</v>
      </c>
      <c r="I22" s="3" t="s">
        <v>581</v>
      </c>
    </row>
    <row r="23" spans="1:9">
      <c r="H23" s="3" t="s">
        <v>571</v>
      </c>
      <c r="I23" s="3" t="s">
        <v>581</v>
      </c>
    </row>
    <row r="24" spans="1:9">
      <c r="H24" s="3" t="s">
        <v>572</v>
      </c>
      <c r="I24" s="3" t="s">
        <v>581</v>
      </c>
    </row>
    <row r="25" spans="1:9">
      <c r="H25" s="3" t="s">
        <v>573</v>
      </c>
      <c r="I25" s="3" t="s">
        <v>581</v>
      </c>
    </row>
    <row r="26" spans="1:9">
      <c r="H26" s="3" t="s">
        <v>574</v>
      </c>
      <c r="I26" s="3" t="s">
        <v>92</v>
      </c>
    </row>
    <row r="27" spans="1:9">
      <c r="H27" s="3" t="s">
        <v>575</v>
      </c>
      <c r="I27" s="3" t="s">
        <v>601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7"/>
  <sheetViews>
    <sheetView workbookViewId="0"/>
  </sheetViews>
  <sheetFormatPr defaultRowHeight="13.8"/>
  <cols>
    <col min="1" max="1" width="24" customWidth="1"/>
    <col min="2" max="2" width="36" customWidth="1"/>
    <col min="3" max="3" width="2" customWidth="1"/>
    <col min="4" max="4" width="12" customWidth="1"/>
    <col min="5" max="5" width="32" customWidth="1"/>
    <col min="6" max="7" width="36" customWidth="1"/>
    <col min="8" max="8" width="26" customWidth="1"/>
    <col min="9" max="9" width="24" customWidth="1"/>
    <col min="10" max="10" width="48" customWidth="1"/>
  </cols>
  <sheetData>
    <row r="1" spans="1:10" ht="22.35" customHeight="1">
      <c r="A1" s="21" t="s">
        <v>1679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35" customHeight="1">
      <c r="A2" s="23" t="s">
        <v>766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10" t="s">
        <v>1569</v>
      </c>
      <c r="B4" s="10" t="s">
        <v>1570</v>
      </c>
      <c r="D4" s="5" t="s">
        <v>1571</v>
      </c>
      <c r="E4" s="5" t="s">
        <v>5</v>
      </c>
      <c r="F4" s="5" t="s">
        <v>1572</v>
      </c>
      <c r="G4" s="5" t="s">
        <v>1573</v>
      </c>
      <c r="H4" s="5" t="s">
        <v>1574</v>
      </c>
      <c r="I4" s="5" t="s">
        <v>1506</v>
      </c>
    </row>
    <row r="5" spans="1:10">
      <c r="A5" s="15" t="s">
        <v>1680</v>
      </c>
      <c r="B5" s="15"/>
      <c r="D5" s="3" t="s">
        <v>1576</v>
      </c>
      <c r="E5" s="3" t="s">
        <v>1681</v>
      </c>
      <c r="F5" s="3" t="s">
        <v>1682</v>
      </c>
      <c r="G5" s="3" t="s">
        <v>1683</v>
      </c>
      <c r="H5" s="3" t="s">
        <v>82</v>
      </c>
      <c r="I5" s="3" t="s">
        <v>1661</v>
      </c>
    </row>
    <row r="6" spans="1:10">
      <c r="A6" s="15" t="s">
        <v>1684</v>
      </c>
      <c r="B6" s="15"/>
      <c r="D6" s="3" t="s">
        <v>1583</v>
      </c>
      <c r="E6" s="3" t="s">
        <v>1685</v>
      </c>
      <c r="F6" s="3" t="s">
        <v>1686</v>
      </c>
      <c r="G6" s="3" t="s">
        <v>1687</v>
      </c>
      <c r="H6" s="3" t="s">
        <v>1688</v>
      </c>
      <c r="I6" s="3" t="s">
        <v>1689</v>
      </c>
    </row>
    <row r="7" spans="1:10">
      <c r="A7" s="15" t="s">
        <v>1690</v>
      </c>
      <c r="B7" s="15"/>
      <c r="D7" s="3" t="s">
        <v>1589</v>
      </c>
      <c r="E7" s="3" t="s">
        <v>1691</v>
      </c>
      <c r="F7" s="3" t="s">
        <v>1692</v>
      </c>
      <c r="G7" s="3" t="s">
        <v>934</v>
      </c>
      <c r="H7" s="3" t="s">
        <v>1688</v>
      </c>
      <c r="I7" s="3" t="s">
        <v>1693</v>
      </c>
    </row>
    <row r="8" spans="1:10">
      <c r="A8" s="15" t="s">
        <v>1694</v>
      </c>
      <c r="B8" s="15"/>
      <c r="D8" s="3" t="s">
        <v>1595</v>
      </c>
      <c r="E8" s="3" t="s">
        <v>1695</v>
      </c>
      <c r="F8" s="3" t="s">
        <v>1696</v>
      </c>
      <c r="G8" s="3" t="s">
        <v>934</v>
      </c>
      <c r="H8" s="3" t="s">
        <v>620</v>
      </c>
      <c r="I8" s="3" t="s">
        <v>715</v>
      </c>
    </row>
    <row r="9" spans="1:10">
      <c r="A9" s="15" t="s">
        <v>1697</v>
      </c>
      <c r="B9" s="15"/>
      <c r="D9" s="3" t="s">
        <v>1601</v>
      </c>
      <c r="E9" s="3" t="s">
        <v>1698</v>
      </c>
      <c r="F9" s="3" t="s">
        <v>1699</v>
      </c>
      <c r="G9" s="3" t="s">
        <v>1700</v>
      </c>
      <c r="H9" s="3" t="s">
        <v>673</v>
      </c>
      <c r="I9" s="3" t="s">
        <v>1701</v>
      </c>
    </row>
    <row r="10" spans="1:10">
      <c r="A10" s="15" t="s">
        <v>72</v>
      </c>
      <c r="B10" s="15"/>
    </row>
    <row r="16" spans="1:10" ht="138">
      <c r="A16" s="7" t="s">
        <v>1071</v>
      </c>
      <c r="B16" s="7" t="s">
        <v>1072</v>
      </c>
      <c r="C16" s="7" t="s">
        <v>1073</v>
      </c>
      <c r="D16" s="7" t="s">
        <v>1074</v>
      </c>
      <c r="E16" s="7" t="s">
        <v>841</v>
      </c>
      <c r="F16" s="7" t="s">
        <v>1075</v>
      </c>
      <c r="H16" s="4" t="s">
        <v>1608</v>
      </c>
      <c r="I16" s="4" t="s">
        <v>3</v>
      </c>
    </row>
    <row r="17" spans="1:9" ht="55.2">
      <c r="A17" s="3" t="s">
        <v>576</v>
      </c>
      <c r="B17" s="3" t="s">
        <v>89</v>
      </c>
      <c r="C17" s="3" t="s">
        <v>580</v>
      </c>
      <c r="D17" s="3" t="s">
        <v>1078</v>
      </c>
      <c r="E17" s="3" t="s">
        <v>615</v>
      </c>
      <c r="F17" s="3" t="s">
        <v>1079</v>
      </c>
      <c r="H17" s="3" t="s">
        <v>566</v>
      </c>
      <c r="I17" s="3" t="s">
        <v>89</v>
      </c>
    </row>
    <row r="18" spans="1:9" ht="138">
      <c r="A18" s="3" t="s">
        <v>597</v>
      </c>
      <c r="B18" s="3" t="s">
        <v>89</v>
      </c>
      <c r="C18" s="3" t="s">
        <v>1083</v>
      </c>
      <c r="D18" s="3" t="s">
        <v>1086</v>
      </c>
      <c r="E18" s="3" t="s">
        <v>600</v>
      </c>
      <c r="F18" s="3" t="s">
        <v>1087</v>
      </c>
      <c r="H18" s="3" t="s">
        <v>567</v>
      </c>
      <c r="I18" s="3" t="s">
        <v>602</v>
      </c>
    </row>
    <row r="19" spans="1:9" ht="138">
      <c r="A19" s="3" t="s">
        <v>606</v>
      </c>
      <c r="B19" s="3" t="s">
        <v>89</v>
      </c>
      <c r="C19" s="3" t="s">
        <v>1083</v>
      </c>
      <c r="D19" s="3" t="s">
        <v>1088</v>
      </c>
      <c r="E19" s="3" t="s">
        <v>600</v>
      </c>
      <c r="F19" s="3" t="s">
        <v>1089</v>
      </c>
      <c r="H19" s="3" t="s">
        <v>568</v>
      </c>
      <c r="I19" s="3" t="s">
        <v>43</v>
      </c>
    </row>
    <row r="20" spans="1:9" ht="82.8">
      <c r="A20" s="3" t="s">
        <v>113</v>
      </c>
      <c r="B20" s="3" t="s">
        <v>89</v>
      </c>
      <c r="C20" s="3" t="s">
        <v>1092</v>
      </c>
      <c r="D20" s="3" t="s">
        <v>1093</v>
      </c>
      <c r="E20" s="3" t="s">
        <v>683</v>
      </c>
      <c r="F20" s="3" t="s">
        <v>1094</v>
      </c>
      <c r="H20" s="3" t="s">
        <v>160</v>
      </c>
      <c r="I20" s="3" t="s">
        <v>603</v>
      </c>
    </row>
    <row r="21" spans="1:9" ht="41.4">
      <c r="A21" s="3" t="s">
        <v>209</v>
      </c>
      <c r="B21" s="3" t="s">
        <v>89</v>
      </c>
      <c r="C21" s="3" t="s">
        <v>581</v>
      </c>
      <c r="D21" s="3" t="s">
        <v>1099</v>
      </c>
      <c r="E21" s="3" t="s">
        <v>600</v>
      </c>
      <c r="F21" s="3" t="s">
        <v>1100</v>
      </c>
      <c r="H21" s="3" t="s">
        <v>569</v>
      </c>
      <c r="I21" s="3" t="s">
        <v>600</v>
      </c>
    </row>
    <row r="22" spans="1:9">
      <c r="H22" s="3" t="s">
        <v>570</v>
      </c>
      <c r="I22" s="3" t="s">
        <v>581</v>
      </c>
    </row>
    <row r="23" spans="1:9">
      <c r="H23" s="3" t="s">
        <v>571</v>
      </c>
      <c r="I23" s="3" t="s">
        <v>581</v>
      </c>
    </row>
    <row r="24" spans="1:9">
      <c r="H24" s="3" t="s">
        <v>572</v>
      </c>
      <c r="I24" s="3" t="s">
        <v>581</v>
      </c>
    </row>
    <row r="25" spans="1:9">
      <c r="H25" s="3" t="s">
        <v>573</v>
      </c>
      <c r="I25" s="3" t="s">
        <v>604</v>
      </c>
    </row>
    <row r="26" spans="1:9">
      <c r="H26" s="3" t="s">
        <v>574</v>
      </c>
      <c r="I26" s="3" t="s">
        <v>92</v>
      </c>
    </row>
    <row r="27" spans="1:9">
      <c r="H27" s="3" t="s">
        <v>575</v>
      </c>
      <c r="I27" s="3" t="s">
        <v>605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7"/>
  <sheetViews>
    <sheetView workbookViewId="0"/>
  </sheetViews>
  <sheetFormatPr defaultRowHeight="13.8"/>
  <cols>
    <col min="1" max="1" width="24" customWidth="1"/>
    <col min="2" max="2" width="36" customWidth="1"/>
    <col min="3" max="3" width="2" customWidth="1"/>
    <col min="4" max="4" width="12" customWidth="1"/>
    <col min="5" max="5" width="32" customWidth="1"/>
    <col min="6" max="7" width="36" customWidth="1"/>
    <col min="8" max="8" width="26" customWidth="1"/>
    <col min="9" max="9" width="24" customWidth="1"/>
    <col min="10" max="10" width="48" customWidth="1"/>
  </cols>
  <sheetData>
    <row r="1" spans="1:10" ht="22.35" customHeight="1">
      <c r="A1" s="21" t="s">
        <v>1702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35" customHeight="1">
      <c r="A2" s="23" t="s">
        <v>772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10" t="s">
        <v>1569</v>
      </c>
      <c r="B4" s="10" t="s">
        <v>1570</v>
      </c>
      <c r="D4" s="5" t="s">
        <v>1571</v>
      </c>
      <c r="E4" s="5" t="s">
        <v>5</v>
      </c>
      <c r="F4" s="5" t="s">
        <v>1572</v>
      </c>
      <c r="G4" s="5" t="s">
        <v>1573</v>
      </c>
      <c r="H4" s="5" t="s">
        <v>1574</v>
      </c>
      <c r="I4" s="5" t="s">
        <v>1506</v>
      </c>
    </row>
    <row r="5" spans="1:10">
      <c r="A5" s="15" t="s">
        <v>1680</v>
      </c>
      <c r="B5" s="15"/>
      <c r="D5" s="3" t="s">
        <v>1576</v>
      </c>
      <c r="E5" s="3" t="s">
        <v>1681</v>
      </c>
      <c r="F5" s="3" t="s">
        <v>1682</v>
      </c>
      <c r="G5" s="3" t="s">
        <v>1703</v>
      </c>
      <c r="H5" s="3" t="s">
        <v>82</v>
      </c>
      <c r="I5" s="3" t="s">
        <v>1661</v>
      </c>
    </row>
    <row r="6" spans="1:10">
      <c r="A6" s="15" t="s">
        <v>1684</v>
      </c>
      <c r="B6" s="15"/>
      <c r="D6" s="3" t="s">
        <v>1583</v>
      </c>
      <c r="E6" s="3" t="s">
        <v>1704</v>
      </c>
      <c r="F6" s="3" t="s">
        <v>1705</v>
      </c>
      <c r="G6" s="3" t="s">
        <v>1706</v>
      </c>
      <c r="H6" s="3" t="s">
        <v>1688</v>
      </c>
      <c r="I6" s="3" t="s">
        <v>1707</v>
      </c>
    </row>
    <row r="7" spans="1:10">
      <c r="A7" s="15" t="s">
        <v>1708</v>
      </c>
      <c r="B7" s="15"/>
      <c r="D7" s="3" t="s">
        <v>1589</v>
      </c>
      <c r="E7" s="3" t="s">
        <v>1709</v>
      </c>
      <c r="F7" s="3" t="s">
        <v>1710</v>
      </c>
      <c r="G7" s="3" t="s">
        <v>1711</v>
      </c>
      <c r="H7" s="3" t="s">
        <v>1688</v>
      </c>
      <c r="I7" s="3" t="s">
        <v>652</v>
      </c>
    </row>
    <row r="8" spans="1:10">
      <c r="A8" s="15" t="s">
        <v>1712</v>
      </c>
      <c r="B8" s="15"/>
      <c r="D8" s="3" t="s">
        <v>1595</v>
      </c>
      <c r="E8" s="3" t="s">
        <v>1713</v>
      </c>
      <c r="F8" s="3" t="s">
        <v>1714</v>
      </c>
      <c r="G8" s="3" t="s">
        <v>1715</v>
      </c>
      <c r="H8" s="3" t="s">
        <v>82</v>
      </c>
      <c r="I8" s="3" t="s">
        <v>1716</v>
      </c>
    </row>
    <row r="9" spans="1:10">
      <c r="A9" s="15" t="s">
        <v>1717</v>
      </c>
      <c r="B9" s="15"/>
      <c r="D9" s="3" t="s">
        <v>1601</v>
      </c>
      <c r="E9" s="3" t="s">
        <v>1718</v>
      </c>
      <c r="F9" s="3" t="s">
        <v>1719</v>
      </c>
      <c r="G9" s="3" t="s">
        <v>934</v>
      </c>
      <c r="H9" s="3" t="s">
        <v>694</v>
      </c>
      <c r="I9" s="3" t="s">
        <v>673</v>
      </c>
    </row>
    <row r="10" spans="1:10">
      <c r="A10" s="15" t="s">
        <v>1694</v>
      </c>
      <c r="B10" s="15"/>
    </row>
    <row r="16" spans="1:10" ht="138">
      <c r="A16" s="7" t="s">
        <v>1071</v>
      </c>
      <c r="B16" s="7" t="s">
        <v>1072</v>
      </c>
      <c r="C16" s="7" t="s">
        <v>1073</v>
      </c>
      <c r="D16" s="7" t="s">
        <v>1074</v>
      </c>
      <c r="E16" s="7" t="s">
        <v>841</v>
      </c>
      <c r="F16" s="7" t="s">
        <v>1075</v>
      </c>
      <c r="H16" s="4" t="s">
        <v>1608</v>
      </c>
      <c r="I16" s="4" t="s">
        <v>3</v>
      </c>
    </row>
    <row r="17" spans="1:9" ht="138">
      <c r="A17" s="3" t="s">
        <v>606</v>
      </c>
      <c r="B17" s="3" t="s">
        <v>89</v>
      </c>
      <c r="C17" s="3" t="s">
        <v>1083</v>
      </c>
      <c r="D17" s="3" t="s">
        <v>1088</v>
      </c>
      <c r="E17" s="3" t="s">
        <v>600</v>
      </c>
      <c r="F17" s="3" t="s">
        <v>1089</v>
      </c>
      <c r="H17" s="3" t="s">
        <v>566</v>
      </c>
      <c r="I17" s="3" t="s">
        <v>606</v>
      </c>
    </row>
    <row r="18" spans="1:9">
      <c r="H18" s="3" t="s">
        <v>567</v>
      </c>
      <c r="I18" s="3" t="s">
        <v>607</v>
      </c>
    </row>
    <row r="19" spans="1:9">
      <c r="H19" s="3" t="s">
        <v>568</v>
      </c>
      <c r="I19" s="3" t="s">
        <v>43</v>
      </c>
    </row>
    <row r="20" spans="1:9" ht="27.6">
      <c r="H20" s="3" t="s">
        <v>160</v>
      </c>
      <c r="I20" s="3" t="s">
        <v>608</v>
      </c>
    </row>
    <row r="21" spans="1:9">
      <c r="H21" s="3" t="s">
        <v>569</v>
      </c>
      <c r="I21" s="3" t="s">
        <v>594</v>
      </c>
    </row>
    <row r="22" spans="1:9">
      <c r="H22" s="3" t="s">
        <v>570</v>
      </c>
      <c r="I22" s="3" t="s">
        <v>581</v>
      </c>
    </row>
    <row r="23" spans="1:9">
      <c r="H23" s="3" t="s">
        <v>571</v>
      </c>
      <c r="I23" s="3" t="s">
        <v>595</v>
      </c>
    </row>
    <row r="24" spans="1:9">
      <c r="H24" s="3" t="s">
        <v>572</v>
      </c>
      <c r="I24" s="3" t="s">
        <v>581</v>
      </c>
    </row>
    <row r="25" spans="1:9">
      <c r="H25" s="3" t="s">
        <v>573</v>
      </c>
      <c r="I25" s="3" t="s">
        <v>581</v>
      </c>
    </row>
    <row r="26" spans="1:9">
      <c r="H26" s="3" t="s">
        <v>574</v>
      </c>
      <c r="I26" s="3" t="s">
        <v>596</v>
      </c>
    </row>
    <row r="27" spans="1:9">
      <c r="H27" s="3" t="s">
        <v>575</v>
      </c>
      <c r="I27" s="3" t="s">
        <v>605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7"/>
  <sheetViews>
    <sheetView workbookViewId="0"/>
  </sheetViews>
  <sheetFormatPr defaultRowHeight="13.8"/>
  <cols>
    <col min="1" max="1" width="24" customWidth="1"/>
    <col min="2" max="2" width="36" customWidth="1"/>
    <col min="3" max="3" width="2" customWidth="1"/>
    <col min="4" max="4" width="12" customWidth="1"/>
    <col min="5" max="5" width="32" customWidth="1"/>
    <col min="6" max="7" width="36" customWidth="1"/>
    <col min="8" max="8" width="26" customWidth="1"/>
    <col min="9" max="9" width="24" customWidth="1"/>
    <col min="10" max="10" width="48" customWidth="1"/>
  </cols>
  <sheetData>
    <row r="1" spans="1:10" ht="22.35" customHeight="1">
      <c r="A1" s="21" t="s">
        <v>1720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35" customHeight="1">
      <c r="A2" s="23" t="s">
        <v>779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10" t="s">
        <v>1569</v>
      </c>
      <c r="B4" s="10" t="s">
        <v>1570</v>
      </c>
      <c r="D4" s="5" t="s">
        <v>1571</v>
      </c>
      <c r="E4" s="5" t="s">
        <v>5</v>
      </c>
      <c r="F4" s="5" t="s">
        <v>1572</v>
      </c>
      <c r="G4" s="5" t="s">
        <v>1573</v>
      </c>
      <c r="H4" s="5" t="s">
        <v>1574</v>
      </c>
      <c r="I4" s="5" t="s">
        <v>1506</v>
      </c>
    </row>
    <row r="5" spans="1:10">
      <c r="A5" s="15" t="s">
        <v>1721</v>
      </c>
      <c r="B5" s="15"/>
      <c r="D5" s="3" t="s">
        <v>1576</v>
      </c>
      <c r="E5" s="3" t="s">
        <v>1722</v>
      </c>
      <c r="F5" s="3" t="s">
        <v>1723</v>
      </c>
      <c r="G5" s="3" t="s">
        <v>1724</v>
      </c>
      <c r="H5" s="3" t="s">
        <v>82</v>
      </c>
      <c r="I5" s="3" t="s">
        <v>1725</v>
      </c>
    </row>
    <row r="6" spans="1:10">
      <c r="A6" s="15" t="s">
        <v>1726</v>
      </c>
      <c r="B6" s="15"/>
      <c r="D6" s="3" t="s">
        <v>1583</v>
      </c>
      <c r="E6" s="3" t="s">
        <v>1727</v>
      </c>
      <c r="F6" s="3" t="s">
        <v>1728</v>
      </c>
      <c r="G6" s="3" t="s">
        <v>1729</v>
      </c>
      <c r="H6" s="3" t="s">
        <v>867</v>
      </c>
      <c r="I6" s="3" t="s">
        <v>1730</v>
      </c>
    </row>
    <row r="7" spans="1:10">
      <c r="A7" s="15" t="s">
        <v>1731</v>
      </c>
      <c r="B7" s="15"/>
      <c r="D7" s="3" t="s">
        <v>1589</v>
      </c>
      <c r="E7" s="3" t="s">
        <v>1732</v>
      </c>
      <c r="F7" s="3" t="s">
        <v>1733</v>
      </c>
      <c r="G7" s="3" t="s">
        <v>934</v>
      </c>
      <c r="H7" s="3" t="s">
        <v>652</v>
      </c>
      <c r="I7" s="3" t="s">
        <v>1693</v>
      </c>
    </row>
    <row r="8" spans="1:10">
      <c r="A8" s="15" t="s">
        <v>1734</v>
      </c>
      <c r="B8" s="15"/>
      <c r="D8" s="3" t="s">
        <v>1595</v>
      </c>
      <c r="E8" s="3" t="s">
        <v>1735</v>
      </c>
      <c r="F8" s="3" t="s">
        <v>1736</v>
      </c>
      <c r="G8" s="3" t="s">
        <v>1737</v>
      </c>
      <c r="H8" s="3" t="s">
        <v>673</v>
      </c>
      <c r="I8" s="3" t="s">
        <v>1738</v>
      </c>
    </row>
    <row r="9" spans="1:10">
      <c r="A9" s="15" t="s">
        <v>1739</v>
      </c>
      <c r="B9" s="15"/>
      <c r="D9" s="3" t="s">
        <v>1601</v>
      </c>
      <c r="E9" s="3" t="s">
        <v>1740</v>
      </c>
      <c r="F9" s="3" t="s">
        <v>1741</v>
      </c>
      <c r="G9" s="3" t="s">
        <v>934</v>
      </c>
      <c r="H9" s="3" t="s">
        <v>694</v>
      </c>
      <c r="I9" s="3" t="s">
        <v>1742</v>
      </c>
    </row>
    <row r="16" spans="1:10" ht="138">
      <c r="A16" s="7" t="s">
        <v>1071</v>
      </c>
      <c r="B16" s="7" t="s">
        <v>1072</v>
      </c>
      <c r="C16" s="7" t="s">
        <v>1073</v>
      </c>
      <c r="D16" s="7" t="s">
        <v>1074</v>
      </c>
      <c r="E16" s="7" t="s">
        <v>841</v>
      </c>
      <c r="F16" s="7" t="s">
        <v>1075</v>
      </c>
      <c r="H16" s="4" t="s">
        <v>1608</v>
      </c>
      <c r="I16" s="4" t="s">
        <v>3</v>
      </c>
    </row>
    <row r="17" spans="1:9" ht="69">
      <c r="A17" s="3" t="s">
        <v>98</v>
      </c>
      <c r="B17" s="3" t="s">
        <v>694</v>
      </c>
      <c r="C17" s="3" t="s">
        <v>581</v>
      </c>
      <c r="D17" s="3" t="s">
        <v>1090</v>
      </c>
      <c r="E17" s="3" t="s">
        <v>594</v>
      </c>
      <c r="F17" s="3" t="s">
        <v>1091</v>
      </c>
      <c r="H17" s="3" t="s">
        <v>566</v>
      </c>
      <c r="I17" s="3" t="s">
        <v>98</v>
      </c>
    </row>
    <row r="18" spans="1:9">
      <c r="H18" s="3" t="s">
        <v>567</v>
      </c>
      <c r="I18" s="3" t="s">
        <v>609</v>
      </c>
    </row>
    <row r="19" spans="1:9">
      <c r="H19" s="3" t="s">
        <v>568</v>
      </c>
      <c r="I19" s="3" t="s">
        <v>43</v>
      </c>
    </row>
    <row r="20" spans="1:9" ht="27.6">
      <c r="H20" s="3" t="s">
        <v>160</v>
      </c>
      <c r="I20" s="3" t="s">
        <v>610</v>
      </c>
    </row>
    <row r="21" spans="1:9">
      <c r="H21" s="3" t="s">
        <v>569</v>
      </c>
      <c r="I21" s="3" t="s">
        <v>600</v>
      </c>
    </row>
    <row r="22" spans="1:9">
      <c r="H22" s="3" t="s">
        <v>570</v>
      </c>
      <c r="I22" s="3" t="s">
        <v>581</v>
      </c>
    </row>
    <row r="23" spans="1:9">
      <c r="H23" s="3" t="s">
        <v>571</v>
      </c>
      <c r="I23" s="3" t="s">
        <v>581</v>
      </c>
    </row>
    <row r="24" spans="1:9">
      <c r="H24" s="3" t="s">
        <v>572</v>
      </c>
      <c r="I24" s="3" t="s">
        <v>581</v>
      </c>
    </row>
    <row r="25" spans="1:9">
      <c r="H25" s="3" t="s">
        <v>573</v>
      </c>
      <c r="I25" s="3" t="s">
        <v>604</v>
      </c>
    </row>
    <row r="26" spans="1:9">
      <c r="H26" s="3" t="s">
        <v>574</v>
      </c>
      <c r="I26" s="3" t="s">
        <v>92</v>
      </c>
    </row>
    <row r="27" spans="1:9">
      <c r="H27" s="3" t="s">
        <v>575</v>
      </c>
      <c r="I27" s="3" t="s">
        <v>611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7"/>
  <sheetViews>
    <sheetView workbookViewId="0"/>
  </sheetViews>
  <sheetFormatPr defaultRowHeight="13.8"/>
  <cols>
    <col min="1" max="1" width="24" customWidth="1"/>
    <col min="2" max="2" width="36" customWidth="1"/>
    <col min="3" max="3" width="2" customWidth="1"/>
    <col min="4" max="4" width="12" customWidth="1"/>
    <col min="5" max="5" width="32" customWidth="1"/>
    <col min="6" max="7" width="36" customWidth="1"/>
    <col min="8" max="8" width="26" customWidth="1"/>
    <col min="9" max="9" width="24" customWidth="1"/>
    <col min="10" max="10" width="48" customWidth="1"/>
  </cols>
  <sheetData>
    <row r="1" spans="1:10" ht="22.35" customHeight="1">
      <c r="A1" s="21" t="s">
        <v>1743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35" customHeight="1">
      <c r="A2" s="23" t="s">
        <v>787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10" t="s">
        <v>1569</v>
      </c>
      <c r="B4" s="10" t="s">
        <v>1570</v>
      </c>
      <c r="D4" s="5" t="s">
        <v>1571</v>
      </c>
      <c r="E4" s="5" t="s">
        <v>5</v>
      </c>
      <c r="F4" s="5" t="s">
        <v>1572</v>
      </c>
      <c r="G4" s="5" t="s">
        <v>1573</v>
      </c>
      <c r="H4" s="5" t="s">
        <v>1574</v>
      </c>
      <c r="I4" s="5" t="s">
        <v>1506</v>
      </c>
    </row>
    <row r="5" spans="1:10">
      <c r="A5" s="15" t="s">
        <v>1744</v>
      </c>
      <c r="B5" s="15"/>
      <c r="D5" s="3" t="s">
        <v>1576</v>
      </c>
      <c r="E5" s="3" t="s">
        <v>1658</v>
      </c>
      <c r="F5" s="3" t="s">
        <v>1745</v>
      </c>
      <c r="G5" s="3" t="s">
        <v>1746</v>
      </c>
      <c r="H5" s="3" t="s">
        <v>620</v>
      </c>
      <c r="I5" s="3" t="s">
        <v>1725</v>
      </c>
    </row>
    <row r="6" spans="1:10">
      <c r="A6" s="15" t="s">
        <v>1747</v>
      </c>
      <c r="B6" s="15"/>
      <c r="D6" s="3" t="s">
        <v>1583</v>
      </c>
      <c r="E6" s="3" t="s">
        <v>1748</v>
      </c>
      <c r="F6" s="3" t="s">
        <v>1749</v>
      </c>
      <c r="G6" s="3" t="s">
        <v>1750</v>
      </c>
      <c r="H6" s="3" t="s">
        <v>627</v>
      </c>
      <c r="I6" s="3" t="s">
        <v>1751</v>
      </c>
    </row>
    <row r="7" spans="1:10">
      <c r="A7" s="15" t="s">
        <v>1752</v>
      </c>
      <c r="B7" s="15"/>
      <c r="D7" s="3" t="s">
        <v>1589</v>
      </c>
      <c r="E7" s="3" t="s">
        <v>1753</v>
      </c>
      <c r="F7" s="3" t="s">
        <v>1754</v>
      </c>
      <c r="G7" s="3" t="s">
        <v>1737</v>
      </c>
      <c r="H7" s="3" t="s">
        <v>652</v>
      </c>
      <c r="I7" s="3" t="s">
        <v>1755</v>
      </c>
    </row>
    <row r="8" spans="1:10">
      <c r="A8" s="15" t="s">
        <v>1756</v>
      </c>
      <c r="B8" s="15"/>
      <c r="D8" s="3" t="s">
        <v>1595</v>
      </c>
      <c r="E8" s="3" t="s">
        <v>1757</v>
      </c>
      <c r="F8" s="3" t="s">
        <v>1758</v>
      </c>
      <c r="G8" s="3" t="s">
        <v>1759</v>
      </c>
      <c r="H8" s="3" t="s">
        <v>673</v>
      </c>
      <c r="I8" s="3" t="s">
        <v>1760</v>
      </c>
    </row>
    <row r="9" spans="1:10">
      <c r="A9" s="15" t="s">
        <v>72</v>
      </c>
      <c r="B9" s="15"/>
      <c r="D9" s="3" t="s">
        <v>1601</v>
      </c>
      <c r="E9" s="3" t="s">
        <v>1761</v>
      </c>
      <c r="F9" s="3" t="s">
        <v>1762</v>
      </c>
      <c r="G9" s="3" t="s">
        <v>934</v>
      </c>
      <c r="H9" s="3" t="s">
        <v>694</v>
      </c>
      <c r="I9" s="3" t="s">
        <v>1763</v>
      </c>
    </row>
    <row r="16" spans="1:10" ht="138">
      <c r="A16" s="7" t="s">
        <v>1071</v>
      </c>
      <c r="B16" s="7" t="s">
        <v>1072</v>
      </c>
      <c r="C16" s="7" t="s">
        <v>1073</v>
      </c>
      <c r="D16" s="7" t="s">
        <v>1074</v>
      </c>
      <c r="E16" s="7" t="s">
        <v>841</v>
      </c>
      <c r="F16" s="7" t="s">
        <v>1075</v>
      </c>
      <c r="H16" s="4" t="s">
        <v>1608</v>
      </c>
      <c r="I16" s="4" t="s">
        <v>3</v>
      </c>
    </row>
    <row r="17" spans="1:9" ht="138">
      <c r="A17" s="3" t="s">
        <v>631</v>
      </c>
      <c r="B17" s="3" t="s">
        <v>612</v>
      </c>
      <c r="C17" s="3" t="s">
        <v>1083</v>
      </c>
      <c r="D17" s="3" t="s">
        <v>1084</v>
      </c>
      <c r="E17" s="3" t="s">
        <v>683</v>
      </c>
      <c r="F17" s="3" t="s">
        <v>1085</v>
      </c>
      <c r="H17" s="3" t="s">
        <v>566</v>
      </c>
      <c r="I17" s="3" t="s">
        <v>612</v>
      </c>
    </row>
    <row r="18" spans="1:9" ht="82.8">
      <c r="A18" s="3" t="s">
        <v>113</v>
      </c>
      <c r="B18" s="3" t="s">
        <v>612</v>
      </c>
      <c r="C18" s="3" t="s">
        <v>1092</v>
      </c>
      <c r="D18" s="3" t="s">
        <v>1096</v>
      </c>
      <c r="E18" s="3" t="s">
        <v>683</v>
      </c>
      <c r="F18" s="3" t="s">
        <v>1094</v>
      </c>
      <c r="H18" s="3" t="s">
        <v>567</v>
      </c>
      <c r="I18" s="3" t="s">
        <v>613</v>
      </c>
    </row>
    <row r="19" spans="1:9" ht="55.2">
      <c r="A19" s="3" t="s">
        <v>680</v>
      </c>
      <c r="B19" s="3" t="s">
        <v>612</v>
      </c>
      <c r="C19" s="3" t="s">
        <v>580</v>
      </c>
      <c r="D19" s="3" t="s">
        <v>1110</v>
      </c>
      <c r="E19" s="3" t="s">
        <v>683</v>
      </c>
      <c r="F19" s="3" t="s">
        <v>1111</v>
      </c>
      <c r="H19" s="3" t="s">
        <v>568</v>
      </c>
      <c r="I19" s="3" t="s">
        <v>43</v>
      </c>
    </row>
    <row r="20" spans="1:9" ht="96.6">
      <c r="A20" s="3" t="s">
        <v>666</v>
      </c>
      <c r="B20" s="3" t="s">
        <v>612</v>
      </c>
      <c r="C20" s="3" t="s">
        <v>1080</v>
      </c>
      <c r="D20" s="3" t="s">
        <v>1118</v>
      </c>
      <c r="E20" s="3" t="s">
        <v>615</v>
      </c>
      <c r="F20" s="3" t="s">
        <v>1119</v>
      </c>
      <c r="H20" s="3" t="s">
        <v>160</v>
      </c>
      <c r="I20" s="3" t="s">
        <v>614</v>
      </c>
    </row>
    <row r="21" spans="1:9">
      <c r="H21" s="3" t="s">
        <v>569</v>
      </c>
      <c r="I21" s="3" t="s">
        <v>615</v>
      </c>
    </row>
    <row r="22" spans="1:9">
      <c r="H22" s="3" t="s">
        <v>570</v>
      </c>
      <c r="I22" s="3" t="s">
        <v>581</v>
      </c>
    </row>
    <row r="23" spans="1:9">
      <c r="H23" s="3" t="s">
        <v>571</v>
      </c>
      <c r="I23" s="3" t="s">
        <v>581</v>
      </c>
    </row>
    <row r="24" spans="1:9">
      <c r="H24" s="3" t="s">
        <v>572</v>
      </c>
      <c r="I24" s="3" t="s">
        <v>581</v>
      </c>
    </row>
    <row r="25" spans="1:9">
      <c r="H25" s="3" t="s">
        <v>573</v>
      </c>
      <c r="I25" s="3" t="s">
        <v>581</v>
      </c>
    </row>
    <row r="26" spans="1:9">
      <c r="H26" s="3" t="s">
        <v>574</v>
      </c>
      <c r="I26" s="3" t="s">
        <v>92</v>
      </c>
    </row>
    <row r="27" spans="1:9">
      <c r="H27" s="3" t="s">
        <v>575</v>
      </c>
      <c r="I27" s="3" t="s">
        <v>616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7"/>
  <sheetViews>
    <sheetView workbookViewId="0"/>
  </sheetViews>
  <sheetFormatPr defaultRowHeight="13.8"/>
  <cols>
    <col min="1" max="1" width="24" customWidth="1"/>
    <col min="2" max="2" width="36" customWidth="1"/>
    <col min="3" max="3" width="2" customWidth="1"/>
    <col min="4" max="4" width="12" customWidth="1"/>
    <col min="5" max="5" width="32" customWidth="1"/>
    <col min="6" max="7" width="36" customWidth="1"/>
    <col min="8" max="8" width="26" customWidth="1"/>
    <col min="9" max="9" width="24" customWidth="1"/>
    <col min="10" max="10" width="48" customWidth="1"/>
  </cols>
  <sheetData>
    <row r="1" spans="1:10" ht="22.35" customHeight="1">
      <c r="A1" s="21" t="s">
        <v>1764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35" customHeight="1">
      <c r="A2" s="23" t="s">
        <v>794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10" t="s">
        <v>1569</v>
      </c>
      <c r="B4" s="10" t="s">
        <v>1570</v>
      </c>
      <c r="D4" s="5" t="s">
        <v>1571</v>
      </c>
      <c r="E4" s="5" t="s">
        <v>5</v>
      </c>
      <c r="F4" s="5" t="s">
        <v>1572</v>
      </c>
      <c r="G4" s="5" t="s">
        <v>1573</v>
      </c>
      <c r="H4" s="5" t="s">
        <v>1574</v>
      </c>
      <c r="I4" s="5" t="s">
        <v>1506</v>
      </c>
    </row>
    <row r="5" spans="1:10">
      <c r="A5" s="15" t="s">
        <v>1765</v>
      </c>
      <c r="B5" s="15"/>
      <c r="D5" s="3" t="s">
        <v>1576</v>
      </c>
      <c r="E5" s="3" t="s">
        <v>1766</v>
      </c>
      <c r="F5" s="3" t="s">
        <v>1767</v>
      </c>
      <c r="G5" s="3" t="s">
        <v>1768</v>
      </c>
      <c r="H5" s="3" t="s">
        <v>82</v>
      </c>
      <c r="I5" s="3" t="s">
        <v>1769</v>
      </c>
    </row>
    <row r="6" spans="1:10">
      <c r="A6" s="15" t="s">
        <v>1770</v>
      </c>
      <c r="B6" s="15"/>
      <c r="D6" s="3" t="s">
        <v>1583</v>
      </c>
      <c r="E6" s="3" t="s">
        <v>1771</v>
      </c>
      <c r="F6" s="3" t="s">
        <v>1772</v>
      </c>
      <c r="G6" s="3" t="s">
        <v>1773</v>
      </c>
      <c r="H6" s="3" t="s">
        <v>620</v>
      </c>
      <c r="I6" s="3" t="s">
        <v>1498</v>
      </c>
    </row>
    <row r="7" spans="1:10">
      <c r="A7" s="15" t="s">
        <v>1774</v>
      </c>
      <c r="B7" s="15"/>
      <c r="D7" s="3" t="s">
        <v>1589</v>
      </c>
      <c r="E7" s="3" t="s">
        <v>1775</v>
      </c>
      <c r="F7" s="3" t="s">
        <v>1649</v>
      </c>
      <c r="G7" s="3" t="s">
        <v>1776</v>
      </c>
      <c r="H7" s="3" t="s">
        <v>82</v>
      </c>
      <c r="I7" s="3" t="s">
        <v>877</v>
      </c>
    </row>
    <row r="8" spans="1:10">
      <c r="A8" s="15" t="s">
        <v>1777</v>
      </c>
      <c r="B8" s="15"/>
      <c r="D8" s="3" t="s">
        <v>1595</v>
      </c>
      <c r="E8" s="3" t="s">
        <v>1778</v>
      </c>
      <c r="F8" s="3" t="s">
        <v>1779</v>
      </c>
      <c r="G8" s="3" t="s">
        <v>934</v>
      </c>
      <c r="H8" s="3" t="s">
        <v>1073</v>
      </c>
      <c r="I8" s="3" t="s">
        <v>1780</v>
      </c>
    </row>
    <row r="9" spans="1:10">
      <c r="A9" s="15" t="s">
        <v>1781</v>
      </c>
      <c r="B9" s="15"/>
      <c r="D9" s="3" t="s">
        <v>1601</v>
      </c>
      <c r="E9" s="3" t="s">
        <v>1782</v>
      </c>
      <c r="F9" s="3" t="s">
        <v>1599</v>
      </c>
      <c r="G9" s="3" t="s">
        <v>934</v>
      </c>
      <c r="H9" s="3" t="s">
        <v>694</v>
      </c>
      <c r="I9" s="3" t="s">
        <v>1783</v>
      </c>
    </row>
    <row r="16" spans="1:10" ht="138">
      <c r="A16" s="7" t="s">
        <v>1071</v>
      </c>
      <c r="B16" s="7" t="s">
        <v>1072</v>
      </c>
      <c r="C16" s="7" t="s">
        <v>1073</v>
      </c>
      <c r="D16" s="7" t="s">
        <v>1074</v>
      </c>
      <c r="E16" s="7" t="s">
        <v>841</v>
      </c>
      <c r="F16" s="7" t="s">
        <v>1075</v>
      </c>
      <c r="H16" s="4" t="s">
        <v>1608</v>
      </c>
      <c r="I16" s="4" t="s">
        <v>3</v>
      </c>
    </row>
    <row r="17" spans="1:9" ht="82.8">
      <c r="A17" s="3" t="s">
        <v>113</v>
      </c>
      <c r="B17" s="3" t="s">
        <v>89</v>
      </c>
      <c r="C17" s="3" t="s">
        <v>1092</v>
      </c>
      <c r="D17" s="3" t="s">
        <v>1093</v>
      </c>
      <c r="E17" s="3" t="s">
        <v>683</v>
      </c>
      <c r="F17" s="3" t="s">
        <v>1094</v>
      </c>
      <c r="H17" s="3" t="s">
        <v>566</v>
      </c>
      <c r="I17" s="3" t="s">
        <v>113</v>
      </c>
    </row>
    <row r="18" spans="1:9" ht="82.8">
      <c r="A18" s="3" t="s">
        <v>113</v>
      </c>
      <c r="B18" s="3" t="s">
        <v>597</v>
      </c>
      <c r="C18" s="3" t="s">
        <v>1092</v>
      </c>
      <c r="D18" s="3" t="s">
        <v>1095</v>
      </c>
      <c r="E18" s="3" t="s">
        <v>683</v>
      </c>
      <c r="F18" s="3" t="s">
        <v>1094</v>
      </c>
      <c r="H18" s="3" t="s">
        <v>567</v>
      </c>
      <c r="I18" s="3" t="s">
        <v>621</v>
      </c>
    </row>
    <row r="19" spans="1:9" ht="82.8">
      <c r="A19" s="3" t="s">
        <v>113</v>
      </c>
      <c r="B19" s="3" t="s">
        <v>612</v>
      </c>
      <c r="C19" s="3" t="s">
        <v>1092</v>
      </c>
      <c r="D19" s="3" t="s">
        <v>1096</v>
      </c>
      <c r="E19" s="3" t="s">
        <v>683</v>
      </c>
      <c r="F19" s="3" t="s">
        <v>1094</v>
      </c>
      <c r="H19" s="3" t="s">
        <v>568</v>
      </c>
      <c r="I19" s="3" t="s">
        <v>54</v>
      </c>
    </row>
    <row r="20" spans="1:9" ht="27.6">
      <c r="H20" s="3" t="s">
        <v>160</v>
      </c>
      <c r="I20" s="3" t="s">
        <v>622</v>
      </c>
    </row>
    <row r="21" spans="1:9">
      <c r="H21" s="3" t="s">
        <v>569</v>
      </c>
      <c r="I21" s="3" t="s">
        <v>579</v>
      </c>
    </row>
    <row r="22" spans="1:9">
      <c r="H22" s="3" t="s">
        <v>570</v>
      </c>
      <c r="I22" s="3" t="s">
        <v>581</v>
      </c>
    </row>
    <row r="23" spans="1:9">
      <c r="H23" s="3" t="s">
        <v>571</v>
      </c>
      <c r="I23" s="3" t="s">
        <v>595</v>
      </c>
    </row>
    <row r="24" spans="1:9">
      <c r="H24" s="3" t="s">
        <v>572</v>
      </c>
      <c r="I24" s="3" t="s">
        <v>581</v>
      </c>
    </row>
    <row r="25" spans="1:9">
      <c r="H25" s="3" t="s">
        <v>573</v>
      </c>
      <c r="I25" s="3" t="s">
        <v>581</v>
      </c>
    </row>
    <row r="26" spans="1:9">
      <c r="H26" s="3" t="s">
        <v>574</v>
      </c>
      <c r="I26" s="3" t="s">
        <v>83</v>
      </c>
    </row>
    <row r="27" spans="1:9">
      <c r="H27" s="3" t="s">
        <v>575</v>
      </c>
      <c r="I27" s="3" t="s">
        <v>623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7"/>
  <sheetViews>
    <sheetView workbookViewId="0"/>
  </sheetViews>
  <sheetFormatPr defaultRowHeight="13.8"/>
  <cols>
    <col min="1" max="1" width="24" customWidth="1"/>
    <col min="2" max="2" width="36" customWidth="1"/>
    <col min="3" max="3" width="2" customWidth="1"/>
    <col min="4" max="4" width="12" customWidth="1"/>
    <col min="5" max="5" width="32" customWidth="1"/>
    <col min="6" max="7" width="36" customWidth="1"/>
    <col min="8" max="8" width="26" customWidth="1"/>
    <col min="9" max="9" width="24" customWidth="1"/>
    <col min="10" max="10" width="48" customWidth="1"/>
  </cols>
  <sheetData>
    <row r="1" spans="1:10" ht="22.35" customHeight="1">
      <c r="A1" s="21" t="s">
        <v>1784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35" customHeight="1">
      <c r="A2" s="23" t="s">
        <v>802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10" t="s">
        <v>1569</v>
      </c>
      <c r="B4" s="10" t="s">
        <v>1570</v>
      </c>
      <c r="D4" s="5" t="s">
        <v>1571</v>
      </c>
      <c r="E4" s="5" t="s">
        <v>5</v>
      </c>
      <c r="F4" s="5" t="s">
        <v>1572</v>
      </c>
      <c r="G4" s="5" t="s">
        <v>1573</v>
      </c>
      <c r="H4" s="5" t="s">
        <v>1574</v>
      </c>
      <c r="I4" s="5" t="s">
        <v>1506</v>
      </c>
    </row>
    <row r="5" spans="1:10">
      <c r="A5" s="15" t="s">
        <v>1785</v>
      </c>
      <c r="B5" s="15"/>
      <c r="D5" s="3" t="s">
        <v>1576</v>
      </c>
      <c r="E5" s="3" t="s">
        <v>1786</v>
      </c>
      <c r="F5" s="3" t="s">
        <v>1787</v>
      </c>
      <c r="G5" s="3" t="s">
        <v>934</v>
      </c>
      <c r="H5" s="3" t="s">
        <v>82</v>
      </c>
      <c r="I5" s="3" t="s">
        <v>1593</v>
      </c>
    </row>
    <row r="6" spans="1:10">
      <c r="A6" s="15" t="s">
        <v>1788</v>
      </c>
      <c r="B6" s="15"/>
      <c r="D6" s="3" t="s">
        <v>1583</v>
      </c>
      <c r="E6" s="3" t="s">
        <v>1789</v>
      </c>
      <c r="F6" s="3" t="s">
        <v>1790</v>
      </c>
      <c r="G6" s="3" t="s">
        <v>1791</v>
      </c>
      <c r="H6" s="3" t="s">
        <v>627</v>
      </c>
      <c r="I6" s="3" t="s">
        <v>1792</v>
      </c>
    </row>
    <row r="7" spans="1:10">
      <c r="A7" s="15" t="s">
        <v>1756</v>
      </c>
      <c r="B7" s="15"/>
      <c r="D7" s="3" t="s">
        <v>1589</v>
      </c>
      <c r="E7" s="3" t="s">
        <v>1793</v>
      </c>
      <c r="F7" s="3" t="s">
        <v>1794</v>
      </c>
      <c r="G7" s="3" t="s">
        <v>1795</v>
      </c>
      <c r="H7" s="3" t="s">
        <v>620</v>
      </c>
      <c r="I7" s="3" t="s">
        <v>1796</v>
      </c>
    </row>
    <row r="8" spans="1:10">
      <c r="A8" s="15" t="s">
        <v>1797</v>
      </c>
      <c r="B8" s="15"/>
      <c r="D8" s="3" t="s">
        <v>1595</v>
      </c>
      <c r="E8" s="3" t="s">
        <v>1798</v>
      </c>
      <c r="F8" s="3" t="s">
        <v>1799</v>
      </c>
      <c r="G8" s="3" t="s">
        <v>934</v>
      </c>
      <c r="H8" s="3" t="s">
        <v>652</v>
      </c>
      <c r="I8" s="3" t="s">
        <v>1738</v>
      </c>
    </row>
    <row r="9" spans="1:10">
      <c r="A9" s="15" t="s">
        <v>1800</v>
      </c>
      <c r="B9" s="15"/>
      <c r="D9" s="3" t="s">
        <v>1601</v>
      </c>
      <c r="E9" s="3" t="s">
        <v>1718</v>
      </c>
      <c r="F9" s="3" t="s">
        <v>1801</v>
      </c>
      <c r="G9" s="3" t="s">
        <v>934</v>
      </c>
      <c r="H9" s="3" t="s">
        <v>694</v>
      </c>
      <c r="I9" s="3" t="s">
        <v>1802</v>
      </c>
    </row>
    <row r="16" spans="1:10" ht="138">
      <c r="A16" s="7" t="s">
        <v>1071</v>
      </c>
      <c r="B16" s="7" t="s">
        <v>1072</v>
      </c>
      <c r="C16" s="7" t="s">
        <v>1073</v>
      </c>
      <c r="D16" s="7" t="s">
        <v>1074</v>
      </c>
      <c r="E16" s="7" t="s">
        <v>841</v>
      </c>
      <c r="F16" s="7" t="s">
        <v>1075</v>
      </c>
      <c r="H16" s="4" t="s">
        <v>1608</v>
      </c>
      <c r="I16" s="4" t="s">
        <v>3</v>
      </c>
    </row>
    <row r="17" spans="1:9" ht="96.6">
      <c r="A17" s="3" t="s">
        <v>624</v>
      </c>
      <c r="B17" s="3" t="s">
        <v>631</v>
      </c>
      <c r="C17" s="3" t="s">
        <v>1080</v>
      </c>
      <c r="D17" s="3" t="s">
        <v>1081</v>
      </c>
      <c r="E17" s="3" t="s">
        <v>615</v>
      </c>
      <c r="F17" s="3" t="s">
        <v>1082</v>
      </c>
      <c r="H17" s="3" t="s">
        <v>566</v>
      </c>
      <c r="I17" s="3" t="s">
        <v>631</v>
      </c>
    </row>
    <row r="18" spans="1:9" ht="138">
      <c r="A18" s="3" t="s">
        <v>631</v>
      </c>
      <c r="B18" s="3" t="s">
        <v>612</v>
      </c>
      <c r="C18" s="3" t="s">
        <v>1083</v>
      </c>
      <c r="D18" s="3" t="s">
        <v>1084</v>
      </c>
      <c r="E18" s="3" t="s">
        <v>683</v>
      </c>
      <c r="F18" s="3" t="s">
        <v>1085</v>
      </c>
      <c r="H18" s="3" t="s">
        <v>567</v>
      </c>
      <c r="I18" s="3" t="s">
        <v>632</v>
      </c>
    </row>
    <row r="19" spans="1:9">
      <c r="H19" s="3" t="s">
        <v>568</v>
      </c>
      <c r="I19" s="3" t="s">
        <v>45</v>
      </c>
    </row>
    <row r="20" spans="1:9" ht="27.6">
      <c r="H20" s="3" t="s">
        <v>160</v>
      </c>
      <c r="I20" s="3" t="s">
        <v>633</v>
      </c>
    </row>
    <row r="21" spans="1:9">
      <c r="H21" s="3" t="s">
        <v>569</v>
      </c>
      <c r="I21" s="3" t="s">
        <v>615</v>
      </c>
    </row>
    <row r="22" spans="1:9">
      <c r="H22" s="3" t="s">
        <v>570</v>
      </c>
      <c r="I22" s="3" t="s">
        <v>581</v>
      </c>
    </row>
    <row r="23" spans="1:9">
      <c r="H23" s="3" t="s">
        <v>571</v>
      </c>
      <c r="I23" s="3" t="s">
        <v>581</v>
      </c>
    </row>
    <row r="24" spans="1:9">
      <c r="H24" s="3" t="s">
        <v>572</v>
      </c>
      <c r="I24" s="3" t="s">
        <v>581</v>
      </c>
    </row>
    <row r="25" spans="1:9">
      <c r="H25" s="3" t="s">
        <v>573</v>
      </c>
      <c r="I25" s="3" t="s">
        <v>604</v>
      </c>
    </row>
    <row r="26" spans="1:9">
      <c r="H26" s="3" t="s">
        <v>574</v>
      </c>
      <c r="I26" s="3" t="s">
        <v>92</v>
      </c>
    </row>
    <row r="27" spans="1:9">
      <c r="H27" s="3" t="s">
        <v>575</v>
      </c>
      <c r="I27" s="3" t="s">
        <v>634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7"/>
  <sheetViews>
    <sheetView workbookViewId="0"/>
  </sheetViews>
  <sheetFormatPr defaultRowHeight="13.8"/>
  <cols>
    <col min="1" max="1" width="24" customWidth="1"/>
    <col min="2" max="2" width="36" customWidth="1"/>
    <col min="3" max="3" width="2" customWidth="1"/>
    <col min="4" max="4" width="12" customWidth="1"/>
    <col min="5" max="5" width="32" customWidth="1"/>
    <col min="6" max="7" width="36" customWidth="1"/>
    <col min="8" max="8" width="26" customWidth="1"/>
    <col min="9" max="9" width="24" customWidth="1"/>
    <col min="10" max="10" width="48" customWidth="1"/>
  </cols>
  <sheetData>
    <row r="1" spans="1:10" ht="22.35" customHeight="1">
      <c r="A1" s="21" t="s">
        <v>1803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35" customHeight="1">
      <c r="A2" s="23" t="s">
        <v>810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10" t="s">
        <v>1569</v>
      </c>
      <c r="B4" s="10" t="s">
        <v>1570</v>
      </c>
      <c r="D4" s="5" t="s">
        <v>1571</v>
      </c>
      <c r="E4" s="5" t="s">
        <v>5</v>
      </c>
      <c r="F4" s="5" t="s">
        <v>1572</v>
      </c>
      <c r="G4" s="5" t="s">
        <v>1573</v>
      </c>
      <c r="H4" s="5" t="s">
        <v>1574</v>
      </c>
      <c r="I4" s="5" t="s">
        <v>1506</v>
      </c>
    </row>
    <row r="5" spans="1:10">
      <c r="A5" s="15" t="s">
        <v>1804</v>
      </c>
      <c r="B5" s="15"/>
      <c r="D5" s="3" t="s">
        <v>1576</v>
      </c>
      <c r="E5" s="3" t="s">
        <v>1805</v>
      </c>
      <c r="F5" s="3" t="s">
        <v>1806</v>
      </c>
      <c r="G5" s="3" t="s">
        <v>1807</v>
      </c>
      <c r="H5" s="3" t="s">
        <v>82</v>
      </c>
      <c r="I5" s="3" t="s">
        <v>1808</v>
      </c>
    </row>
    <row r="6" spans="1:10">
      <c r="A6" s="15" t="s">
        <v>1809</v>
      </c>
      <c r="B6" s="15"/>
      <c r="D6" s="3" t="s">
        <v>1583</v>
      </c>
      <c r="E6" s="3" t="s">
        <v>1810</v>
      </c>
      <c r="F6" s="3" t="s">
        <v>1811</v>
      </c>
      <c r="G6" s="3" t="s">
        <v>1812</v>
      </c>
      <c r="H6" s="3" t="s">
        <v>82</v>
      </c>
      <c r="I6" s="3" t="s">
        <v>1813</v>
      </c>
    </row>
    <row r="7" spans="1:10">
      <c r="A7" s="15" t="s">
        <v>1814</v>
      </c>
      <c r="B7" s="15"/>
      <c r="D7" s="3" t="s">
        <v>1589</v>
      </c>
      <c r="E7" s="3" t="s">
        <v>1815</v>
      </c>
      <c r="F7" s="3" t="s">
        <v>1816</v>
      </c>
      <c r="G7" s="3" t="s">
        <v>1817</v>
      </c>
      <c r="H7" s="3" t="s">
        <v>652</v>
      </c>
      <c r="I7" s="3" t="s">
        <v>1818</v>
      </c>
    </row>
    <row r="8" spans="1:10">
      <c r="A8" s="15" t="s">
        <v>1819</v>
      </c>
      <c r="B8" s="15"/>
      <c r="D8" s="3" t="s">
        <v>1595</v>
      </c>
      <c r="E8" s="3" t="s">
        <v>1820</v>
      </c>
      <c r="F8" s="3" t="s">
        <v>1821</v>
      </c>
      <c r="G8" s="3" t="s">
        <v>1776</v>
      </c>
      <c r="H8" s="3" t="s">
        <v>82</v>
      </c>
      <c r="I8" s="3" t="s">
        <v>1822</v>
      </c>
    </row>
    <row r="9" spans="1:10">
      <c r="A9" s="15" t="s">
        <v>1594</v>
      </c>
      <c r="B9" s="15"/>
      <c r="D9" s="3" t="s">
        <v>1601</v>
      </c>
      <c r="E9" s="3" t="s">
        <v>1823</v>
      </c>
      <c r="F9" s="3" t="s">
        <v>1824</v>
      </c>
      <c r="G9" s="3" t="s">
        <v>934</v>
      </c>
      <c r="H9" s="3" t="s">
        <v>673</v>
      </c>
      <c r="I9" s="3" t="s">
        <v>877</v>
      </c>
    </row>
    <row r="16" spans="1:10" ht="138">
      <c r="A16" s="7" t="s">
        <v>1071</v>
      </c>
      <c r="B16" s="7" t="s">
        <v>1072</v>
      </c>
      <c r="C16" s="7" t="s">
        <v>1073</v>
      </c>
      <c r="D16" s="7" t="s">
        <v>1074</v>
      </c>
      <c r="E16" s="7" t="s">
        <v>841</v>
      </c>
      <c r="F16" s="7" t="s">
        <v>1075</v>
      </c>
      <c r="H16" s="4" t="s">
        <v>1608</v>
      </c>
      <c r="I16" s="4" t="s">
        <v>3</v>
      </c>
    </row>
    <row r="17" spans="1:9" ht="55.2">
      <c r="A17" s="3" t="s">
        <v>643</v>
      </c>
      <c r="B17" s="3" t="s">
        <v>646</v>
      </c>
      <c r="C17" s="3" t="s">
        <v>581</v>
      </c>
      <c r="D17" s="3" t="s">
        <v>1101</v>
      </c>
      <c r="E17" s="3" t="s">
        <v>594</v>
      </c>
      <c r="F17" s="3" t="s">
        <v>1102</v>
      </c>
      <c r="H17" s="3" t="s">
        <v>566</v>
      </c>
      <c r="I17" s="3" t="s">
        <v>643</v>
      </c>
    </row>
    <row r="18" spans="1:9" ht="55.2">
      <c r="A18" s="3" t="s">
        <v>999</v>
      </c>
      <c r="B18" s="3" t="s">
        <v>643</v>
      </c>
      <c r="C18" s="3" t="s">
        <v>581</v>
      </c>
      <c r="D18" s="3" t="s">
        <v>1103</v>
      </c>
      <c r="E18" s="3" t="s">
        <v>594</v>
      </c>
      <c r="F18" s="3" t="s">
        <v>1104</v>
      </c>
      <c r="H18" s="3" t="s">
        <v>567</v>
      </c>
      <c r="I18" s="3" t="s">
        <v>644</v>
      </c>
    </row>
    <row r="19" spans="1:9">
      <c r="H19" s="3" t="s">
        <v>568</v>
      </c>
      <c r="I19" s="3" t="s">
        <v>53</v>
      </c>
    </row>
    <row r="20" spans="1:9" ht="27.6">
      <c r="H20" s="3" t="s">
        <v>160</v>
      </c>
      <c r="I20" s="3" t="s">
        <v>645</v>
      </c>
    </row>
    <row r="21" spans="1:9">
      <c r="H21" s="3" t="s">
        <v>569</v>
      </c>
      <c r="I21" s="3" t="s">
        <v>594</v>
      </c>
    </row>
    <row r="22" spans="1:9">
      <c r="H22" s="3" t="s">
        <v>570</v>
      </c>
      <c r="I22" s="3" t="s">
        <v>581</v>
      </c>
    </row>
    <row r="23" spans="1:9">
      <c r="H23" s="3" t="s">
        <v>571</v>
      </c>
      <c r="I23" s="3" t="s">
        <v>595</v>
      </c>
    </row>
    <row r="24" spans="1:9">
      <c r="H24" s="3" t="s">
        <v>572</v>
      </c>
      <c r="I24" s="3" t="s">
        <v>581</v>
      </c>
    </row>
    <row r="25" spans="1:9">
      <c r="H25" s="3" t="s">
        <v>573</v>
      </c>
      <c r="I25" s="3" t="s">
        <v>581</v>
      </c>
    </row>
    <row r="26" spans="1:9">
      <c r="H26" s="3" t="s">
        <v>574</v>
      </c>
      <c r="I26" s="3" t="s">
        <v>596</v>
      </c>
    </row>
    <row r="27" spans="1:9">
      <c r="H27" s="3" t="s">
        <v>575</v>
      </c>
      <c r="I27" s="3" t="s">
        <v>82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7"/>
  <sheetViews>
    <sheetView workbookViewId="0"/>
  </sheetViews>
  <sheetFormatPr defaultRowHeight="13.8"/>
  <cols>
    <col min="1" max="1" width="24" customWidth="1"/>
    <col min="2" max="2" width="36" customWidth="1"/>
    <col min="3" max="3" width="2" customWidth="1"/>
    <col min="4" max="4" width="12" customWidth="1"/>
    <col min="5" max="5" width="32" customWidth="1"/>
    <col min="6" max="7" width="36" customWidth="1"/>
    <col min="8" max="8" width="26" customWidth="1"/>
    <col min="9" max="9" width="24" customWidth="1"/>
    <col min="10" max="10" width="48" customWidth="1"/>
  </cols>
  <sheetData>
    <row r="1" spans="1:10" ht="22.35" customHeight="1">
      <c r="A1" s="21" t="s">
        <v>1825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35" customHeight="1">
      <c r="A2" s="23" t="s">
        <v>817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10" t="s">
        <v>1569</v>
      </c>
      <c r="B4" s="10" t="s">
        <v>1570</v>
      </c>
      <c r="D4" s="5" t="s">
        <v>1571</v>
      </c>
      <c r="E4" s="5" t="s">
        <v>5</v>
      </c>
      <c r="F4" s="5" t="s">
        <v>1572</v>
      </c>
      <c r="G4" s="5" t="s">
        <v>1573</v>
      </c>
      <c r="H4" s="5" t="s">
        <v>1574</v>
      </c>
      <c r="I4" s="5" t="s">
        <v>1506</v>
      </c>
    </row>
    <row r="5" spans="1:10">
      <c r="A5" s="15" t="s">
        <v>1826</v>
      </c>
      <c r="B5" s="15"/>
      <c r="D5" s="3" t="s">
        <v>1576</v>
      </c>
      <c r="E5" s="3" t="s">
        <v>1827</v>
      </c>
      <c r="F5" s="3" t="s">
        <v>1828</v>
      </c>
      <c r="G5" s="3" t="s">
        <v>1829</v>
      </c>
      <c r="H5" s="3" t="s">
        <v>689</v>
      </c>
      <c r="I5" s="3" t="s">
        <v>1830</v>
      </c>
    </row>
    <row r="6" spans="1:10">
      <c r="A6" s="15" t="s">
        <v>1831</v>
      </c>
      <c r="B6" s="15"/>
      <c r="D6" s="3" t="s">
        <v>1583</v>
      </c>
      <c r="E6" s="3" t="s">
        <v>1832</v>
      </c>
      <c r="F6" s="3" t="s">
        <v>1833</v>
      </c>
      <c r="G6" s="3" t="s">
        <v>1834</v>
      </c>
      <c r="H6" s="3" t="s">
        <v>689</v>
      </c>
      <c r="I6" s="3" t="s">
        <v>1835</v>
      </c>
    </row>
    <row r="7" spans="1:10">
      <c r="A7" s="15" t="s">
        <v>1836</v>
      </c>
      <c r="B7" s="15"/>
      <c r="D7" s="3" t="s">
        <v>1589</v>
      </c>
      <c r="E7" s="3" t="s">
        <v>1837</v>
      </c>
      <c r="F7" s="3" t="s">
        <v>1838</v>
      </c>
      <c r="G7" s="3" t="s">
        <v>1839</v>
      </c>
      <c r="H7" s="3" t="s">
        <v>694</v>
      </c>
      <c r="I7" s="3" t="s">
        <v>1425</v>
      </c>
    </row>
    <row r="8" spans="1:10">
      <c r="A8" s="15" t="s">
        <v>1840</v>
      </c>
      <c r="B8" s="15"/>
      <c r="D8" s="3" t="s">
        <v>1595</v>
      </c>
      <c r="E8" s="3" t="s">
        <v>1841</v>
      </c>
      <c r="F8" s="3" t="s">
        <v>1842</v>
      </c>
      <c r="G8" s="3" t="s">
        <v>1843</v>
      </c>
      <c r="H8" s="3" t="s">
        <v>652</v>
      </c>
      <c r="I8" s="3" t="s">
        <v>1844</v>
      </c>
    </row>
    <row r="9" spans="1:10">
      <c r="A9" s="15" t="s">
        <v>1845</v>
      </c>
      <c r="B9" s="15"/>
      <c r="D9" s="3" t="s">
        <v>1601</v>
      </c>
      <c r="E9" s="3" t="s">
        <v>1846</v>
      </c>
      <c r="F9" s="3" t="s">
        <v>1847</v>
      </c>
      <c r="G9" s="3" t="s">
        <v>934</v>
      </c>
      <c r="H9" s="3" t="s">
        <v>694</v>
      </c>
      <c r="I9" s="3" t="s">
        <v>1848</v>
      </c>
    </row>
    <row r="16" spans="1:10" ht="138">
      <c r="A16" s="7" t="s">
        <v>1071</v>
      </c>
      <c r="B16" s="7" t="s">
        <v>1072</v>
      </c>
      <c r="C16" s="7" t="s">
        <v>1073</v>
      </c>
      <c r="D16" s="7" t="s">
        <v>1074</v>
      </c>
      <c r="E16" s="7" t="s">
        <v>841</v>
      </c>
      <c r="F16" s="7" t="s">
        <v>1075</v>
      </c>
      <c r="H16" s="4" t="s">
        <v>1608</v>
      </c>
      <c r="I16" s="4" t="s">
        <v>3</v>
      </c>
    </row>
    <row r="17" spans="1:9" ht="69">
      <c r="A17" s="3" t="s">
        <v>98</v>
      </c>
      <c r="B17" s="3" t="s">
        <v>694</v>
      </c>
      <c r="C17" s="3" t="s">
        <v>581</v>
      </c>
      <c r="D17" s="3" t="s">
        <v>1090</v>
      </c>
      <c r="E17" s="3" t="s">
        <v>594</v>
      </c>
      <c r="F17" s="3" t="s">
        <v>1091</v>
      </c>
      <c r="H17" s="3" t="s">
        <v>566</v>
      </c>
      <c r="I17" s="3" t="s">
        <v>694</v>
      </c>
    </row>
    <row r="18" spans="1:9" ht="124.2">
      <c r="A18" s="3" t="s">
        <v>694</v>
      </c>
      <c r="B18" s="3" t="s">
        <v>1122</v>
      </c>
      <c r="C18" s="3" t="s">
        <v>1123</v>
      </c>
      <c r="D18" s="3" t="s">
        <v>1124</v>
      </c>
      <c r="E18" s="3" t="s">
        <v>594</v>
      </c>
      <c r="F18" s="3" t="s">
        <v>1125</v>
      </c>
      <c r="H18" s="3" t="s">
        <v>567</v>
      </c>
      <c r="I18" s="3" t="s">
        <v>695</v>
      </c>
    </row>
    <row r="19" spans="1:9">
      <c r="H19" s="3" t="s">
        <v>568</v>
      </c>
      <c r="I19" s="3" t="s">
        <v>49</v>
      </c>
    </row>
    <row r="20" spans="1:9" ht="41.4">
      <c r="H20" s="3" t="s">
        <v>160</v>
      </c>
      <c r="I20" s="3" t="s">
        <v>696</v>
      </c>
    </row>
    <row r="21" spans="1:9">
      <c r="H21" s="3" t="s">
        <v>569</v>
      </c>
      <c r="I21" s="3" t="s">
        <v>579</v>
      </c>
    </row>
    <row r="22" spans="1:9">
      <c r="H22" s="3" t="s">
        <v>570</v>
      </c>
      <c r="I22" s="3" t="s">
        <v>580</v>
      </c>
    </row>
    <row r="23" spans="1:9">
      <c r="H23" s="3" t="s">
        <v>571</v>
      </c>
      <c r="I23" s="3" t="s">
        <v>595</v>
      </c>
    </row>
    <row r="24" spans="1:9">
      <c r="H24" s="3" t="s">
        <v>572</v>
      </c>
      <c r="I24" s="3" t="s">
        <v>581</v>
      </c>
    </row>
    <row r="25" spans="1:9">
      <c r="H25" s="3" t="s">
        <v>573</v>
      </c>
      <c r="I25" s="3" t="s">
        <v>582</v>
      </c>
    </row>
    <row r="26" spans="1:9">
      <c r="H26" s="3" t="s">
        <v>574</v>
      </c>
      <c r="I26" s="3" t="s">
        <v>83</v>
      </c>
    </row>
    <row r="27" spans="1:9">
      <c r="H27" s="3" t="s">
        <v>575</v>
      </c>
      <c r="I27" s="3" t="s">
        <v>697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27"/>
  <sheetViews>
    <sheetView workbookViewId="0"/>
  </sheetViews>
  <sheetFormatPr defaultRowHeight="13.8"/>
  <cols>
    <col min="1" max="1" width="24" customWidth="1"/>
    <col min="2" max="2" width="36" customWidth="1"/>
    <col min="3" max="3" width="2" customWidth="1"/>
    <col min="4" max="4" width="12" customWidth="1"/>
    <col min="5" max="5" width="32" customWidth="1"/>
    <col min="6" max="7" width="36" customWidth="1"/>
    <col min="8" max="8" width="26" customWidth="1"/>
    <col min="9" max="9" width="24" customWidth="1"/>
    <col min="10" max="10" width="48" customWidth="1"/>
  </cols>
  <sheetData>
    <row r="1" spans="1:10" ht="22.35" customHeight="1">
      <c r="A1" s="21" t="s">
        <v>1849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35" customHeight="1">
      <c r="A2" s="23" t="s">
        <v>825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10" t="s">
        <v>1569</v>
      </c>
      <c r="B4" s="10" t="s">
        <v>1570</v>
      </c>
      <c r="D4" s="5" t="s">
        <v>1571</v>
      </c>
      <c r="E4" s="5" t="s">
        <v>5</v>
      </c>
      <c r="F4" s="5" t="s">
        <v>1572</v>
      </c>
      <c r="G4" s="5" t="s">
        <v>1573</v>
      </c>
      <c r="H4" s="5" t="s">
        <v>1574</v>
      </c>
      <c r="I4" s="5" t="s">
        <v>1506</v>
      </c>
    </row>
    <row r="5" spans="1:10">
      <c r="A5" s="15" t="s">
        <v>1024</v>
      </c>
      <c r="B5" s="15"/>
      <c r="D5" s="3" t="s">
        <v>1576</v>
      </c>
      <c r="E5" s="3" t="s">
        <v>1850</v>
      </c>
      <c r="F5" s="3" t="s">
        <v>1851</v>
      </c>
      <c r="G5" s="3" t="s">
        <v>1852</v>
      </c>
      <c r="H5" s="3" t="s">
        <v>693</v>
      </c>
      <c r="I5" s="3" t="s">
        <v>1024</v>
      </c>
    </row>
    <row r="6" spans="1:10">
      <c r="A6" s="15" t="s">
        <v>1025</v>
      </c>
      <c r="B6" s="15"/>
      <c r="D6" s="3" t="s">
        <v>1583</v>
      </c>
      <c r="E6" s="3" t="s">
        <v>1853</v>
      </c>
      <c r="F6" s="3" t="s">
        <v>1854</v>
      </c>
      <c r="G6" s="3" t="s">
        <v>1855</v>
      </c>
      <c r="H6" s="3" t="s">
        <v>1856</v>
      </c>
      <c r="I6" s="3" t="s">
        <v>1857</v>
      </c>
    </row>
    <row r="7" spans="1:10">
      <c r="A7" s="15" t="s">
        <v>1858</v>
      </c>
      <c r="B7" s="15"/>
      <c r="D7" s="3" t="s">
        <v>1589</v>
      </c>
      <c r="E7" s="3" t="s">
        <v>1859</v>
      </c>
      <c r="F7" s="3" t="s">
        <v>1860</v>
      </c>
      <c r="G7" s="3" t="s">
        <v>1861</v>
      </c>
      <c r="H7" s="3" t="s">
        <v>1073</v>
      </c>
      <c r="I7" s="3" t="s">
        <v>1862</v>
      </c>
    </row>
    <row r="8" spans="1:10">
      <c r="A8" s="15" t="s">
        <v>72</v>
      </c>
      <c r="B8" s="15"/>
      <c r="D8" s="3" t="s">
        <v>1595</v>
      </c>
      <c r="E8" s="3" t="s">
        <v>1863</v>
      </c>
      <c r="F8" s="3" t="s">
        <v>1864</v>
      </c>
      <c r="G8" s="3" t="s">
        <v>934</v>
      </c>
      <c r="H8" s="3" t="s">
        <v>693</v>
      </c>
      <c r="I8" s="3" t="s">
        <v>715</v>
      </c>
    </row>
    <row r="9" spans="1:10">
      <c r="A9" s="15" t="s">
        <v>1033</v>
      </c>
      <c r="B9" s="15"/>
      <c r="D9" s="3" t="s">
        <v>1601</v>
      </c>
      <c r="E9" s="3" t="s">
        <v>1865</v>
      </c>
      <c r="F9" s="3" t="s">
        <v>1866</v>
      </c>
      <c r="G9" s="3" t="s">
        <v>673</v>
      </c>
      <c r="H9" s="3" t="s">
        <v>1867</v>
      </c>
      <c r="I9" s="3"/>
    </row>
    <row r="10" spans="1:10">
      <c r="A10" s="15" t="s">
        <v>690</v>
      </c>
      <c r="B10" s="15"/>
    </row>
    <row r="16" spans="1:10" ht="138">
      <c r="A16" s="7" t="s">
        <v>1071</v>
      </c>
      <c r="B16" s="7" t="s">
        <v>1072</v>
      </c>
      <c r="C16" s="7" t="s">
        <v>1073</v>
      </c>
      <c r="D16" s="7" t="s">
        <v>1074</v>
      </c>
      <c r="E16" s="7" t="s">
        <v>841</v>
      </c>
      <c r="F16" s="7" t="s">
        <v>1075</v>
      </c>
      <c r="H16" s="4" t="s">
        <v>1608</v>
      </c>
      <c r="I16" s="4" t="s">
        <v>3</v>
      </c>
    </row>
    <row r="17" spans="1:9">
      <c r="A17" s="3"/>
      <c r="B17" s="3"/>
      <c r="C17" s="3"/>
      <c r="D17" s="3"/>
      <c r="E17" s="3"/>
      <c r="F17" s="3"/>
      <c r="H17" s="3" t="s">
        <v>566</v>
      </c>
      <c r="I17" s="3" t="s">
        <v>690</v>
      </c>
    </row>
    <row r="18" spans="1:9">
      <c r="H18" s="3" t="s">
        <v>567</v>
      </c>
      <c r="I18" s="3" t="s">
        <v>691</v>
      </c>
    </row>
    <row r="19" spans="1:9">
      <c r="H19" s="3" t="s">
        <v>568</v>
      </c>
      <c r="I19" s="3" t="s">
        <v>47</v>
      </c>
    </row>
    <row r="20" spans="1:9" ht="27.6">
      <c r="H20" s="3" t="s">
        <v>160</v>
      </c>
      <c r="I20" s="3" t="s">
        <v>692</v>
      </c>
    </row>
    <row r="21" spans="1:9">
      <c r="H21" s="3" t="s">
        <v>569</v>
      </c>
      <c r="I21" s="3" t="s">
        <v>600</v>
      </c>
    </row>
    <row r="22" spans="1:9">
      <c r="H22" s="3" t="s">
        <v>570</v>
      </c>
      <c r="I22" s="3" t="s">
        <v>581</v>
      </c>
    </row>
    <row r="23" spans="1:9">
      <c r="H23" s="3" t="s">
        <v>571</v>
      </c>
      <c r="I23" s="3" t="s">
        <v>581</v>
      </c>
    </row>
    <row r="24" spans="1:9">
      <c r="H24" s="3" t="s">
        <v>572</v>
      </c>
      <c r="I24" s="3" t="s">
        <v>581</v>
      </c>
    </row>
    <row r="25" spans="1:9">
      <c r="H25" s="3" t="s">
        <v>573</v>
      </c>
      <c r="I25" s="3" t="s">
        <v>581</v>
      </c>
    </row>
    <row r="26" spans="1:9">
      <c r="H26" s="3" t="s">
        <v>574</v>
      </c>
      <c r="I26" s="3" t="s">
        <v>92</v>
      </c>
    </row>
    <row r="27" spans="1:9">
      <c r="H27" s="3" t="s">
        <v>575</v>
      </c>
      <c r="I27" s="3" t="s">
        <v>693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7"/>
  <sheetViews>
    <sheetView workbookViewId="0"/>
  </sheetViews>
  <sheetFormatPr defaultRowHeight="13.8"/>
  <cols>
    <col min="1" max="1" width="24" customWidth="1"/>
    <col min="2" max="2" width="36" customWidth="1"/>
    <col min="3" max="3" width="2" customWidth="1"/>
    <col min="4" max="4" width="12" customWidth="1"/>
    <col min="5" max="5" width="32" customWidth="1"/>
    <col min="6" max="7" width="36" customWidth="1"/>
    <col min="8" max="8" width="26" customWidth="1"/>
    <col min="9" max="9" width="24" customWidth="1"/>
    <col min="10" max="10" width="48" customWidth="1"/>
  </cols>
  <sheetData>
    <row r="1" spans="1:10" ht="22.35" customHeight="1">
      <c r="A1" s="21" t="s">
        <v>1868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.35" customHeight="1">
      <c r="A2" s="23" t="s">
        <v>833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10" t="s">
        <v>1569</v>
      </c>
      <c r="B4" s="10" t="s">
        <v>1570</v>
      </c>
      <c r="D4" s="5" t="s">
        <v>1571</v>
      </c>
      <c r="E4" s="5" t="s">
        <v>5</v>
      </c>
      <c r="F4" s="5" t="s">
        <v>1572</v>
      </c>
      <c r="G4" s="5" t="s">
        <v>1573</v>
      </c>
      <c r="H4" s="5" t="s">
        <v>1574</v>
      </c>
      <c r="I4" s="5" t="s">
        <v>1506</v>
      </c>
    </row>
    <row r="5" spans="1:10">
      <c r="A5" s="15" t="s">
        <v>1869</v>
      </c>
      <c r="B5" s="15"/>
      <c r="D5" s="3" t="s">
        <v>1576</v>
      </c>
      <c r="E5" s="3" t="s">
        <v>1870</v>
      </c>
      <c r="F5" s="3" t="s">
        <v>1871</v>
      </c>
      <c r="G5" s="3" t="s">
        <v>1872</v>
      </c>
      <c r="H5" s="3" t="s">
        <v>82</v>
      </c>
      <c r="I5" s="3" t="s">
        <v>1725</v>
      </c>
    </row>
    <row r="6" spans="1:10">
      <c r="A6" s="15" t="s">
        <v>1873</v>
      </c>
      <c r="B6" s="15"/>
      <c r="D6" s="3" t="s">
        <v>1583</v>
      </c>
      <c r="E6" s="3" t="s">
        <v>1874</v>
      </c>
      <c r="F6" s="3" t="s">
        <v>1875</v>
      </c>
      <c r="G6" s="3" t="s">
        <v>1876</v>
      </c>
      <c r="H6" s="3" t="s">
        <v>693</v>
      </c>
      <c r="I6" s="3" t="s">
        <v>1869</v>
      </c>
    </row>
    <row r="7" spans="1:10">
      <c r="A7" s="15" t="s">
        <v>1877</v>
      </c>
      <c r="B7" s="15"/>
      <c r="D7" s="3" t="s">
        <v>1589</v>
      </c>
      <c r="E7" s="3" t="s">
        <v>1878</v>
      </c>
      <c r="F7" s="3" t="s">
        <v>1879</v>
      </c>
      <c r="G7" s="3" t="s">
        <v>934</v>
      </c>
      <c r="H7" s="3" t="s">
        <v>652</v>
      </c>
      <c r="I7" s="3" t="s">
        <v>1880</v>
      </c>
    </row>
    <row r="8" spans="1:10">
      <c r="A8" s="15" t="s">
        <v>1881</v>
      </c>
      <c r="B8" s="15"/>
      <c r="D8" s="3" t="s">
        <v>1595</v>
      </c>
      <c r="E8" s="3" t="s">
        <v>1882</v>
      </c>
      <c r="F8" s="3" t="s">
        <v>1883</v>
      </c>
      <c r="G8" s="3" t="s">
        <v>1776</v>
      </c>
      <c r="H8" s="3" t="s">
        <v>897</v>
      </c>
      <c r="I8" s="3" t="s">
        <v>1884</v>
      </c>
    </row>
    <row r="9" spans="1:10">
      <c r="A9" s="15" t="s">
        <v>1629</v>
      </c>
      <c r="B9" s="15"/>
      <c r="D9" s="3" t="s">
        <v>1601</v>
      </c>
      <c r="E9" s="3" t="s">
        <v>1885</v>
      </c>
      <c r="F9" s="3" t="s">
        <v>1886</v>
      </c>
      <c r="G9" s="3" t="s">
        <v>673</v>
      </c>
      <c r="H9" s="3" t="s">
        <v>1887</v>
      </c>
      <c r="I9" s="3"/>
    </row>
    <row r="16" spans="1:10" ht="138">
      <c r="A16" s="7" t="s">
        <v>1071</v>
      </c>
      <c r="B16" s="7" t="s">
        <v>1072</v>
      </c>
      <c r="C16" s="7" t="s">
        <v>1073</v>
      </c>
      <c r="D16" s="7" t="s">
        <v>1074</v>
      </c>
      <c r="E16" s="7" t="s">
        <v>841</v>
      </c>
      <c r="F16" s="7" t="s">
        <v>1075</v>
      </c>
      <c r="H16" s="4" t="s">
        <v>1608</v>
      </c>
      <c r="I16" s="4" t="s">
        <v>3</v>
      </c>
    </row>
    <row r="17" spans="1:9" ht="55.2">
      <c r="A17" s="3" t="s">
        <v>649</v>
      </c>
      <c r="B17" s="3" t="s">
        <v>80</v>
      </c>
      <c r="C17" s="3" t="s">
        <v>581</v>
      </c>
      <c r="D17" s="3" t="s">
        <v>1107</v>
      </c>
      <c r="E17" s="3" t="s">
        <v>594</v>
      </c>
      <c r="F17" s="3" t="s">
        <v>1108</v>
      </c>
      <c r="H17" s="3" t="s">
        <v>566</v>
      </c>
      <c r="I17" s="3" t="s">
        <v>649</v>
      </c>
    </row>
    <row r="18" spans="1:9">
      <c r="H18" s="3" t="s">
        <v>567</v>
      </c>
      <c r="I18" s="3" t="s">
        <v>650</v>
      </c>
    </row>
    <row r="19" spans="1:9">
      <c r="H19" s="3" t="s">
        <v>568</v>
      </c>
      <c r="I19" s="3" t="s">
        <v>45</v>
      </c>
    </row>
    <row r="20" spans="1:9" ht="27.6">
      <c r="H20" s="3" t="s">
        <v>160</v>
      </c>
      <c r="I20" s="3" t="s">
        <v>651</v>
      </c>
    </row>
    <row r="21" spans="1:9">
      <c r="H21" s="3" t="s">
        <v>569</v>
      </c>
      <c r="I21" s="3" t="s">
        <v>594</v>
      </c>
    </row>
    <row r="22" spans="1:9">
      <c r="H22" s="3" t="s">
        <v>570</v>
      </c>
      <c r="I22" s="3" t="s">
        <v>581</v>
      </c>
    </row>
    <row r="23" spans="1:9">
      <c r="H23" s="3" t="s">
        <v>571</v>
      </c>
      <c r="I23" s="3" t="s">
        <v>595</v>
      </c>
    </row>
    <row r="24" spans="1:9">
      <c r="H24" s="3" t="s">
        <v>572</v>
      </c>
      <c r="I24" s="3" t="s">
        <v>581</v>
      </c>
    </row>
    <row r="25" spans="1:9">
      <c r="H25" s="3" t="s">
        <v>573</v>
      </c>
      <c r="I25" s="3" t="s">
        <v>582</v>
      </c>
    </row>
    <row r="26" spans="1:9">
      <c r="H26" s="3" t="s">
        <v>574</v>
      </c>
      <c r="I26" s="3" t="s">
        <v>596</v>
      </c>
    </row>
    <row r="27" spans="1:9">
      <c r="H27" s="3" t="s">
        <v>575</v>
      </c>
      <c r="I27" s="3" t="s">
        <v>652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323"/>
  <sheetViews>
    <sheetView workbookViewId="0"/>
  </sheetViews>
  <sheetFormatPr defaultRowHeight="13.8"/>
  <cols>
    <col min="1" max="1" width="24" customWidth="1"/>
    <col min="2" max="2" width="28" customWidth="1"/>
    <col min="3" max="3" width="16" customWidth="1"/>
    <col min="4" max="4" width="24" customWidth="1"/>
    <col min="5" max="6" width="18" customWidth="1"/>
  </cols>
  <sheetData>
    <row r="1" spans="1:6" ht="22.35" customHeight="1">
      <c r="A1" s="21" t="s">
        <v>1888</v>
      </c>
      <c r="B1" s="22"/>
      <c r="C1" s="22"/>
      <c r="D1" s="22"/>
      <c r="E1" s="22"/>
      <c r="F1" s="22"/>
    </row>
    <row r="2" spans="1:6" ht="22.35" customHeight="1">
      <c r="A2" s="23" t="s">
        <v>1889</v>
      </c>
      <c r="B2" s="22"/>
      <c r="C2" s="22"/>
      <c r="D2" s="22"/>
      <c r="E2" s="22"/>
      <c r="F2" s="22"/>
    </row>
    <row r="4" spans="1:6" ht="27.6">
      <c r="A4" s="2" t="s">
        <v>156</v>
      </c>
      <c r="B4" s="2" t="s">
        <v>157</v>
      </c>
      <c r="C4" s="2" t="s">
        <v>158</v>
      </c>
      <c r="D4" s="2" t="s">
        <v>430</v>
      </c>
      <c r="E4" s="2" t="s">
        <v>1890</v>
      </c>
      <c r="F4" s="2" t="s">
        <v>1891</v>
      </c>
    </row>
    <row r="5" spans="1:6">
      <c r="A5" s="3" t="s">
        <v>102</v>
      </c>
      <c r="B5" s="3" t="s">
        <v>163</v>
      </c>
      <c r="C5" s="3" t="s">
        <v>164</v>
      </c>
      <c r="D5" s="3" t="s">
        <v>432</v>
      </c>
      <c r="E5" s="3" t="s">
        <v>78</v>
      </c>
      <c r="F5" s="3" t="s">
        <v>164</v>
      </c>
    </row>
    <row r="6" spans="1:6">
      <c r="A6" s="3" t="s">
        <v>102</v>
      </c>
      <c r="B6" s="3" t="s">
        <v>163</v>
      </c>
      <c r="C6" s="3" t="s">
        <v>164</v>
      </c>
      <c r="D6" s="3" t="s">
        <v>439</v>
      </c>
      <c r="E6" s="3" t="s">
        <v>440</v>
      </c>
      <c r="F6" s="3" t="s">
        <v>164</v>
      </c>
    </row>
    <row r="7" spans="1:6">
      <c r="A7" s="3" t="s">
        <v>102</v>
      </c>
      <c r="B7" s="3" t="s">
        <v>163</v>
      </c>
      <c r="C7" s="3" t="s">
        <v>164</v>
      </c>
      <c r="D7" s="3" t="s">
        <v>443</v>
      </c>
      <c r="E7" s="3" t="s">
        <v>444</v>
      </c>
      <c r="F7" s="3" t="s">
        <v>164</v>
      </c>
    </row>
    <row r="8" spans="1:6">
      <c r="A8" s="3" t="s">
        <v>102</v>
      </c>
      <c r="B8" s="3" t="s">
        <v>163</v>
      </c>
      <c r="C8" s="3" t="s">
        <v>164</v>
      </c>
      <c r="D8" s="3" t="s">
        <v>447</v>
      </c>
      <c r="E8" s="3" t="s">
        <v>448</v>
      </c>
      <c r="F8" s="3" t="s">
        <v>164</v>
      </c>
    </row>
    <row r="9" spans="1:6">
      <c r="A9" s="3" t="s">
        <v>102</v>
      </c>
      <c r="B9" s="3" t="s">
        <v>163</v>
      </c>
      <c r="C9" s="3" t="s">
        <v>164</v>
      </c>
      <c r="D9" s="3" t="s">
        <v>435</v>
      </c>
      <c r="E9" s="3" t="s">
        <v>436</v>
      </c>
      <c r="F9" s="3" t="s">
        <v>164</v>
      </c>
    </row>
    <row r="10" spans="1:6">
      <c r="A10" s="3" t="s">
        <v>102</v>
      </c>
      <c r="B10" s="3" t="s">
        <v>163</v>
      </c>
      <c r="C10" s="3" t="s">
        <v>164</v>
      </c>
      <c r="D10" s="3" t="s">
        <v>455</v>
      </c>
      <c r="E10" s="3" t="s">
        <v>103</v>
      </c>
      <c r="F10" s="3" t="s">
        <v>164</v>
      </c>
    </row>
    <row r="11" spans="1:6">
      <c r="A11" s="3" t="s">
        <v>169</v>
      </c>
      <c r="B11" s="3" t="s">
        <v>170</v>
      </c>
      <c r="C11" s="3" t="s">
        <v>164</v>
      </c>
      <c r="D11" s="3" t="s">
        <v>432</v>
      </c>
      <c r="E11" s="3" t="s">
        <v>78</v>
      </c>
      <c r="F11" s="3" t="s">
        <v>164</v>
      </c>
    </row>
    <row r="12" spans="1:6">
      <c r="A12" s="3" t="s">
        <v>169</v>
      </c>
      <c r="B12" s="3" t="s">
        <v>170</v>
      </c>
      <c r="C12" s="3" t="s">
        <v>164</v>
      </c>
      <c r="D12" s="3" t="s">
        <v>439</v>
      </c>
      <c r="E12" s="3" t="s">
        <v>440</v>
      </c>
      <c r="F12" s="3" t="s">
        <v>164</v>
      </c>
    </row>
    <row r="13" spans="1:6">
      <c r="A13" s="3" t="s">
        <v>169</v>
      </c>
      <c r="B13" s="3" t="s">
        <v>170</v>
      </c>
      <c r="C13" s="3" t="s">
        <v>164</v>
      </c>
      <c r="D13" s="3" t="s">
        <v>443</v>
      </c>
      <c r="E13" s="3" t="s">
        <v>444</v>
      </c>
      <c r="F13" s="3" t="s">
        <v>164</v>
      </c>
    </row>
    <row r="14" spans="1:6">
      <c r="A14" s="3" t="s">
        <v>169</v>
      </c>
      <c r="B14" s="3" t="s">
        <v>170</v>
      </c>
      <c r="C14" s="3" t="s">
        <v>164</v>
      </c>
      <c r="D14" s="3" t="s">
        <v>447</v>
      </c>
      <c r="E14" s="3" t="s">
        <v>448</v>
      </c>
      <c r="F14" s="3" t="s">
        <v>164</v>
      </c>
    </row>
    <row r="15" spans="1:6">
      <c r="A15" s="3" t="s">
        <v>169</v>
      </c>
      <c r="B15" s="3" t="s">
        <v>170</v>
      </c>
      <c r="C15" s="3" t="s">
        <v>164</v>
      </c>
      <c r="D15" s="3" t="s">
        <v>435</v>
      </c>
      <c r="E15" s="3" t="s">
        <v>436</v>
      </c>
      <c r="F15" s="3" t="s">
        <v>164</v>
      </c>
    </row>
    <row r="16" spans="1:6">
      <c r="A16" s="3" t="s">
        <v>169</v>
      </c>
      <c r="B16" s="3" t="s">
        <v>170</v>
      </c>
      <c r="C16" s="3" t="s">
        <v>164</v>
      </c>
      <c r="D16" s="3" t="s">
        <v>455</v>
      </c>
      <c r="E16" s="3" t="s">
        <v>103</v>
      </c>
      <c r="F16" s="3" t="s">
        <v>164</v>
      </c>
    </row>
    <row r="17" spans="1:6">
      <c r="A17" s="3" t="s">
        <v>111</v>
      </c>
      <c r="B17" s="3" t="s">
        <v>174</v>
      </c>
      <c r="C17" s="3" t="s">
        <v>175</v>
      </c>
      <c r="D17" s="3" t="s">
        <v>466</v>
      </c>
      <c r="E17" s="3" t="s">
        <v>87</v>
      </c>
      <c r="F17" s="3" t="s">
        <v>175</v>
      </c>
    </row>
    <row r="18" spans="1:6">
      <c r="A18" s="3" t="s">
        <v>111</v>
      </c>
      <c r="B18" s="3" t="s">
        <v>174</v>
      </c>
      <c r="C18" s="3" t="s">
        <v>175</v>
      </c>
      <c r="D18" s="3" t="s">
        <v>469</v>
      </c>
      <c r="E18" s="3" t="s">
        <v>470</v>
      </c>
      <c r="F18" s="3" t="s">
        <v>175</v>
      </c>
    </row>
    <row r="19" spans="1:6">
      <c r="A19" s="3" t="s">
        <v>111</v>
      </c>
      <c r="B19" s="3" t="s">
        <v>174</v>
      </c>
      <c r="C19" s="3" t="s">
        <v>175</v>
      </c>
      <c r="D19" s="3" t="s">
        <v>473</v>
      </c>
      <c r="E19" s="3" t="s">
        <v>474</v>
      </c>
      <c r="F19" s="3" t="s">
        <v>175</v>
      </c>
    </row>
    <row r="20" spans="1:6">
      <c r="A20" s="3" t="s">
        <v>111</v>
      </c>
      <c r="B20" s="3" t="s">
        <v>174</v>
      </c>
      <c r="C20" s="3" t="s">
        <v>175</v>
      </c>
      <c r="D20" s="3" t="s">
        <v>477</v>
      </c>
      <c r="E20" s="3" t="s">
        <v>478</v>
      </c>
      <c r="F20" s="3" t="s">
        <v>175</v>
      </c>
    </row>
    <row r="21" spans="1:6">
      <c r="A21" s="3" t="s">
        <v>111</v>
      </c>
      <c r="B21" s="3" t="s">
        <v>174</v>
      </c>
      <c r="C21" s="3" t="s">
        <v>175</v>
      </c>
      <c r="D21" s="3" t="s">
        <v>447</v>
      </c>
      <c r="E21" s="3" t="s">
        <v>448</v>
      </c>
      <c r="F21" s="3" t="s">
        <v>164</v>
      </c>
    </row>
    <row r="22" spans="1:6">
      <c r="A22" s="3" t="s">
        <v>111</v>
      </c>
      <c r="B22" s="3" t="s">
        <v>174</v>
      </c>
      <c r="C22" s="3" t="s">
        <v>175</v>
      </c>
      <c r="D22" s="3" t="s">
        <v>455</v>
      </c>
      <c r="E22" s="3" t="s">
        <v>103</v>
      </c>
      <c r="F22" s="3" t="s">
        <v>164</v>
      </c>
    </row>
    <row r="23" spans="1:6">
      <c r="A23" s="3" t="s">
        <v>77</v>
      </c>
      <c r="B23" s="3" t="s">
        <v>179</v>
      </c>
      <c r="C23" s="3" t="s">
        <v>164</v>
      </c>
      <c r="D23" s="3" t="s">
        <v>432</v>
      </c>
      <c r="E23" s="3" t="s">
        <v>78</v>
      </c>
      <c r="F23" s="3" t="s">
        <v>164</v>
      </c>
    </row>
    <row r="24" spans="1:6">
      <c r="A24" s="3" t="s">
        <v>77</v>
      </c>
      <c r="B24" s="3" t="s">
        <v>179</v>
      </c>
      <c r="C24" s="3" t="s">
        <v>164</v>
      </c>
      <c r="D24" s="3" t="s">
        <v>439</v>
      </c>
      <c r="E24" s="3" t="s">
        <v>440</v>
      </c>
      <c r="F24" s="3" t="s">
        <v>164</v>
      </c>
    </row>
    <row r="25" spans="1:6">
      <c r="A25" s="3" t="s">
        <v>77</v>
      </c>
      <c r="B25" s="3" t="s">
        <v>179</v>
      </c>
      <c r="C25" s="3" t="s">
        <v>164</v>
      </c>
      <c r="D25" s="3" t="s">
        <v>443</v>
      </c>
      <c r="E25" s="3" t="s">
        <v>444</v>
      </c>
      <c r="F25" s="3" t="s">
        <v>164</v>
      </c>
    </row>
    <row r="26" spans="1:6">
      <c r="A26" s="3" t="s">
        <v>77</v>
      </c>
      <c r="B26" s="3" t="s">
        <v>179</v>
      </c>
      <c r="C26" s="3" t="s">
        <v>164</v>
      </c>
      <c r="D26" s="3" t="s">
        <v>447</v>
      </c>
      <c r="E26" s="3" t="s">
        <v>448</v>
      </c>
      <c r="F26" s="3" t="s">
        <v>164</v>
      </c>
    </row>
    <row r="27" spans="1:6">
      <c r="A27" s="3" t="s">
        <v>77</v>
      </c>
      <c r="B27" s="3" t="s">
        <v>179</v>
      </c>
      <c r="C27" s="3" t="s">
        <v>164</v>
      </c>
      <c r="D27" s="3" t="s">
        <v>435</v>
      </c>
      <c r="E27" s="3" t="s">
        <v>436</v>
      </c>
      <c r="F27" s="3" t="s">
        <v>164</v>
      </c>
    </row>
    <row r="28" spans="1:6">
      <c r="A28" s="3" t="s">
        <v>77</v>
      </c>
      <c r="B28" s="3" t="s">
        <v>179</v>
      </c>
      <c r="C28" s="3" t="s">
        <v>164</v>
      </c>
      <c r="D28" s="3" t="s">
        <v>455</v>
      </c>
      <c r="E28" s="3" t="s">
        <v>103</v>
      </c>
      <c r="F28" s="3" t="s">
        <v>164</v>
      </c>
    </row>
    <row r="29" spans="1:6">
      <c r="A29" s="3" t="s">
        <v>183</v>
      </c>
      <c r="B29" s="3" t="s">
        <v>184</v>
      </c>
      <c r="C29" s="3" t="s">
        <v>164</v>
      </c>
      <c r="D29" s="3" t="s">
        <v>432</v>
      </c>
      <c r="E29" s="3" t="s">
        <v>78</v>
      </c>
      <c r="F29" s="3" t="s">
        <v>164</v>
      </c>
    </row>
    <row r="30" spans="1:6">
      <c r="A30" s="3" t="s">
        <v>183</v>
      </c>
      <c r="B30" s="3" t="s">
        <v>184</v>
      </c>
      <c r="C30" s="3" t="s">
        <v>164</v>
      </c>
      <c r="D30" s="3" t="s">
        <v>439</v>
      </c>
      <c r="E30" s="3" t="s">
        <v>440</v>
      </c>
      <c r="F30" s="3" t="s">
        <v>164</v>
      </c>
    </row>
    <row r="31" spans="1:6">
      <c r="A31" s="3" t="s">
        <v>183</v>
      </c>
      <c r="B31" s="3" t="s">
        <v>184</v>
      </c>
      <c r="C31" s="3" t="s">
        <v>164</v>
      </c>
      <c r="D31" s="3" t="s">
        <v>443</v>
      </c>
      <c r="E31" s="3" t="s">
        <v>444</v>
      </c>
      <c r="F31" s="3" t="s">
        <v>164</v>
      </c>
    </row>
    <row r="32" spans="1:6">
      <c r="A32" s="3" t="s">
        <v>183</v>
      </c>
      <c r="B32" s="3" t="s">
        <v>184</v>
      </c>
      <c r="C32" s="3" t="s">
        <v>164</v>
      </c>
      <c r="D32" s="3" t="s">
        <v>447</v>
      </c>
      <c r="E32" s="3" t="s">
        <v>448</v>
      </c>
      <c r="F32" s="3" t="s">
        <v>164</v>
      </c>
    </row>
    <row r="33" spans="1:6">
      <c r="A33" s="3" t="s">
        <v>183</v>
      </c>
      <c r="B33" s="3" t="s">
        <v>184</v>
      </c>
      <c r="C33" s="3" t="s">
        <v>164</v>
      </c>
      <c r="D33" s="3" t="s">
        <v>435</v>
      </c>
      <c r="E33" s="3" t="s">
        <v>436</v>
      </c>
      <c r="F33" s="3" t="s">
        <v>164</v>
      </c>
    </row>
    <row r="34" spans="1:6">
      <c r="A34" s="3" t="s">
        <v>183</v>
      </c>
      <c r="B34" s="3" t="s">
        <v>184</v>
      </c>
      <c r="C34" s="3" t="s">
        <v>164</v>
      </c>
      <c r="D34" s="3" t="s">
        <v>455</v>
      </c>
      <c r="E34" s="3" t="s">
        <v>103</v>
      </c>
      <c r="F34" s="3" t="s">
        <v>164</v>
      </c>
    </row>
    <row r="35" spans="1:6">
      <c r="A35" s="3" t="s">
        <v>86</v>
      </c>
      <c r="B35" s="3" t="s">
        <v>186</v>
      </c>
      <c r="C35" s="3" t="s">
        <v>175</v>
      </c>
      <c r="D35" s="3" t="s">
        <v>466</v>
      </c>
      <c r="E35" s="3" t="s">
        <v>87</v>
      </c>
      <c r="F35" s="3" t="s">
        <v>175</v>
      </c>
    </row>
    <row r="36" spans="1:6">
      <c r="A36" s="3" t="s">
        <v>86</v>
      </c>
      <c r="B36" s="3" t="s">
        <v>186</v>
      </c>
      <c r="C36" s="3" t="s">
        <v>175</v>
      </c>
      <c r="D36" s="3" t="s">
        <v>469</v>
      </c>
      <c r="E36" s="3" t="s">
        <v>470</v>
      </c>
      <c r="F36" s="3" t="s">
        <v>175</v>
      </c>
    </row>
    <row r="37" spans="1:6">
      <c r="A37" s="3" t="s">
        <v>86</v>
      </c>
      <c r="B37" s="3" t="s">
        <v>186</v>
      </c>
      <c r="C37" s="3" t="s">
        <v>175</v>
      </c>
      <c r="D37" s="3" t="s">
        <v>473</v>
      </c>
      <c r="E37" s="3" t="s">
        <v>474</v>
      </c>
      <c r="F37" s="3" t="s">
        <v>175</v>
      </c>
    </row>
    <row r="38" spans="1:6">
      <c r="A38" s="3" t="s">
        <v>86</v>
      </c>
      <c r="B38" s="3" t="s">
        <v>186</v>
      </c>
      <c r="C38" s="3" t="s">
        <v>175</v>
      </c>
      <c r="D38" s="3" t="s">
        <v>477</v>
      </c>
      <c r="E38" s="3" t="s">
        <v>478</v>
      </c>
      <c r="F38" s="3" t="s">
        <v>175</v>
      </c>
    </row>
    <row r="39" spans="1:6">
      <c r="A39" s="3" t="s">
        <v>190</v>
      </c>
      <c r="B39" s="3" t="s">
        <v>191</v>
      </c>
      <c r="C39" s="3" t="s">
        <v>175</v>
      </c>
      <c r="D39" s="3" t="s">
        <v>466</v>
      </c>
      <c r="E39" s="3" t="s">
        <v>87</v>
      </c>
      <c r="F39" s="3" t="s">
        <v>175</v>
      </c>
    </row>
    <row r="40" spans="1:6">
      <c r="A40" s="3" t="s">
        <v>190</v>
      </c>
      <c r="B40" s="3" t="s">
        <v>191</v>
      </c>
      <c r="C40" s="3" t="s">
        <v>175</v>
      </c>
      <c r="D40" s="3" t="s">
        <v>469</v>
      </c>
      <c r="E40" s="3" t="s">
        <v>470</v>
      </c>
      <c r="F40" s="3" t="s">
        <v>175</v>
      </c>
    </row>
    <row r="41" spans="1:6">
      <c r="A41" s="3" t="s">
        <v>190</v>
      </c>
      <c r="B41" s="3" t="s">
        <v>191</v>
      </c>
      <c r="C41" s="3" t="s">
        <v>175</v>
      </c>
      <c r="D41" s="3" t="s">
        <v>473</v>
      </c>
      <c r="E41" s="3" t="s">
        <v>474</v>
      </c>
      <c r="F41" s="3" t="s">
        <v>175</v>
      </c>
    </row>
    <row r="42" spans="1:6">
      <c r="A42" s="3" t="s">
        <v>190</v>
      </c>
      <c r="B42" s="3" t="s">
        <v>191</v>
      </c>
      <c r="C42" s="3" t="s">
        <v>175</v>
      </c>
      <c r="D42" s="3" t="s">
        <v>477</v>
      </c>
      <c r="E42" s="3" t="s">
        <v>478</v>
      </c>
      <c r="F42" s="3" t="s">
        <v>175</v>
      </c>
    </row>
    <row r="43" spans="1:6">
      <c r="A43" s="3" t="s">
        <v>190</v>
      </c>
      <c r="B43" s="3" t="s">
        <v>191</v>
      </c>
      <c r="C43" s="3" t="s">
        <v>175</v>
      </c>
      <c r="D43" s="3" t="s">
        <v>432</v>
      </c>
      <c r="E43" s="3" t="s">
        <v>78</v>
      </c>
      <c r="F43" s="3" t="s">
        <v>164</v>
      </c>
    </row>
    <row r="44" spans="1:6">
      <c r="A44" s="3" t="s">
        <v>195</v>
      </c>
      <c r="B44" s="3" t="s">
        <v>196</v>
      </c>
      <c r="C44" s="3" t="s">
        <v>175</v>
      </c>
      <c r="D44" s="3" t="s">
        <v>466</v>
      </c>
      <c r="E44" s="3" t="s">
        <v>87</v>
      </c>
      <c r="F44" s="3" t="s">
        <v>175</v>
      </c>
    </row>
    <row r="45" spans="1:6">
      <c r="A45" s="3" t="s">
        <v>195</v>
      </c>
      <c r="B45" s="3" t="s">
        <v>196</v>
      </c>
      <c r="C45" s="3" t="s">
        <v>175</v>
      </c>
      <c r="D45" s="3" t="s">
        <v>469</v>
      </c>
      <c r="E45" s="3" t="s">
        <v>470</v>
      </c>
      <c r="F45" s="3" t="s">
        <v>175</v>
      </c>
    </row>
    <row r="46" spans="1:6">
      <c r="A46" s="3" t="s">
        <v>195</v>
      </c>
      <c r="B46" s="3" t="s">
        <v>196</v>
      </c>
      <c r="C46" s="3" t="s">
        <v>175</v>
      </c>
      <c r="D46" s="3" t="s">
        <v>473</v>
      </c>
      <c r="E46" s="3" t="s">
        <v>474</v>
      </c>
      <c r="F46" s="3" t="s">
        <v>175</v>
      </c>
    </row>
    <row r="47" spans="1:6">
      <c r="A47" s="3" t="s">
        <v>195</v>
      </c>
      <c r="B47" s="3" t="s">
        <v>196</v>
      </c>
      <c r="C47" s="3" t="s">
        <v>175</v>
      </c>
      <c r="D47" s="3" t="s">
        <v>477</v>
      </c>
      <c r="E47" s="3" t="s">
        <v>478</v>
      </c>
      <c r="F47" s="3" t="s">
        <v>175</v>
      </c>
    </row>
    <row r="48" spans="1:6">
      <c r="A48" s="3" t="s">
        <v>195</v>
      </c>
      <c r="B48" s="3" t="s">
        <v>196</v>
      </c>
      <c r="C48" s="3" t="s">
        <v>175</v>
      </c>
      <c r="D48" s="3" t="s">
        <v>432</v>
      </c>
      <c r="E48" s="3" t="s">
        <v>78</v>
      </c>
      <c r="F48" s="3" t="s">
        <v>164</v>
      </c>
    </row>
    <row r="49" spans="1:6">
      <c r="A49" s="3" t="s">
        <v>199</v>
      </c>
      <c r="B49" s="3" t="s">
        <v>200</v>
      </c>
      <c r="C49" s="3" t="s">
        <v>201</v>
      </c>
      <c r="D49" s="3" t="s">
        <v>481</v>
      </c>
      <c r="E49" s="3" t="s">
        <v>482</v>
      </c>
      <c r="F49" s="3" t="s">
        <v>201</v>
      </c>
    </row>
    <row r="50" spans="1:6">
      <c r="A50" s="3" t="s">
        <v>199</v>
      </c>
      <c r="B50" s="3" t="s">
        <v>200</v>
      </c>
      <c r="C50" s="3" t="s">
        <v>201</v>
      </c>
      <c r="D50" s="3" t="s">
        <v>485</v>
      </c>
      <c r="E50" s="3" t="s">
        <v>486</v>
      </c>
      <c r="F50" s="3" t="s">
        <v>201</v>
      </c>
    </row>
    <row r="51" spans="1:6">
      <c r="A51" s="3" t="s">
        <v>199</v>
      </c>
      <c r="B51" s="3" t="s">
        <v>200</v>
      </c>
      <c r="C51" s="3" t="s">
        <v>201</v>
      </c>
      <c r="D51" s="3" t="s">
        <v>489</v>
      </c>
      <c r="E51" s="3" t="s">
        <v>490</v>
      </c>
      <c r="F51" s="3" t="s">
        <v>201</v>
      </c>
    </row>
    <row r="52" spans="1:6">
      <c r="A52" s="3" t="s">
        <v>199</v>
      </c>
      <c r="B52" s="3" t="s">
        <v>200</v>
      </c>
      <c r="C52" s="3" t="s">
        <v>201</v>
      </c>
      <c r="D52" s="3" t="s">
        <v>493</v>
      </c>
      <c r="E52" s="3" t="s">
        <v>494</v>
      </c>
      <c r="F52" s="3" t="s">
        <v>201</v>
      </c>
    </row>
    <row r="53" spans="1:6">
      <c r="A53" s="3" t="s">
        <v>199</v>
      </c>
      <c r="B53" s="3" t="s">
        <v>200</v>
      </c>
      <c r="C53" s="3" t="s">
        <v>201</v>
      </c>
      <c r="D53" s="3" t="s">
        <v>497</v>
      </c>
      <c r="E53" s="3" t="s">
        <v>498</v>
      </c>
      <c r="F53" s="3" t="s">
        <v>201</v>
      </c>
    </row>
    <row r="54" spans="1:6">
      <c r="A54" s="3" t="s">
        <v>199</v>
      </c>
      <c r="B54" s="3" t="s">
        <v>200</v>
      </c>
      <c r="C54" s="3" t="s">
        <v>201</v>
      </c>
      <c r="D54" s="3" t="s">
        <v>500</v>
      </c>
      <c r="E54" s="3" t="s">
        <v>501</v>
      </c>
      <c r="F54" s="3" t="s">
        <v>201</v>
      </c>
    </row>
    <row r="55" spans="1:6">
      <c r="A55" s="3" t="s">
        <v>199</v>
      </c>
      <c r="B55" s="3" t="s">
        <v>200</v>
      </c>
      <c r="C55" s="3" t="s">
        <v>201</v>
      </c>
      <c r="D55" s="3" t="s">
        <v>504</v>
      </c>
      <c r="E55" s="3" t="s">
        <v>505</v>
      </c>
      <c r="F55" s="3" t="s">
        <v>201</v>
      </c>
    </row>
    <row r="56" spans="1:6">
      <c r="A56" s="3" t="s">
        <v>205</v>
      </c>
      <c r="B56" s="3" t="s">
        <v>206</v>
      </c>
      <c r="C56" s="3" t="s">
        <v>201</v>
      </c>
      <c r="D56" s="3" t="s">
        <v>481</v>
      </c>
      <c r="E56" s="3" t="s">
        <v>482</v>
      </c>
      <c r="F56" s="3" t="s">
        <v>201</v>
      </c>
    </row>
    <row r="57" spans="1:6">
      <c r="A57" s="3" t="s">
        <v>205</v>
      </c>
      <c r="B57" s="3" t="s">
        <v>206</v>
      </c>
      <c r="C57" s="3" t="s">
        <v>201</v>
      </c>
      <c r="D57" s="3" t="s">
        <v>485</v>
      </c>
      <c r="E57" s="3" t="s">
        <v>486</v>
      </c>
      <c r="F57" s="3" t="s">
        <v>201</v>
      </c>
    </row>
    <row r="58" spans="1:6">
      <c r="A58" s="3" t="s">
        <v>205</v>
      </c>
      <c r="B58" s="3" t="s">
        <v>206</v>
      </c>
      <c r="C58" s="3" t="s">
        <v>201</v>
      </c>
      <c r="D58" s="3" t="s">
        <v>489</v>
      </c>
      <c r="E58" s="3" t="s">
        <v>490</v>
      </c>
      <c r="F58" s="3" t="s">
        <v>201</v>
      </c>
    </row>
    <row r="59" spans="1:6">
      <c r="A59" s="3" t="s">
        <v>205</v>
      </c>
      <c r="B59" s="3" t="s">
        <v>206</v>
      </c>
      <c r="C59" s="3" t="s">
        <v>201</v>
      </c>
      <c r="D59" s="3" t="s">
        <v>493</v>
      </c>
      <c r="E59" s="3" t="s">
        <v>494</v>
      </c>
      <c r="F59" s="3" t="s">
        <v>201</v>
      </c>
    </row>
    <row r="60" spans="1:6">
      <c r="A60" s="3" t="s">
        <v>205</v>
      </c>
      <c r="B60" s="3" t="s">
        <v>206</v>
      </c>
      <c r="C60" s="3" t="s">
        <v>201</v>
      </c>
      <c r="D60" s="3" t="s">
        <v>497</v>
      </c>
      <c r="E60" s="3" t="s">
        <v>498</v>
      </c>
      <c r="F60" s="3" t="s">
        <v>201</v>
      </c>
    </row>
    <row r="61" spans="1:6">
      <c r="A61" s="3" t="s">
        <v>205</v>
      </c>
      <c r="B61" s="3" t="s">
        <v>206</v>
      </c>
      <c r="C61" s="3" t="s">
        <v>201</v>
      </c>
      <c r="D61" s="3" t="s">
        <v>500</v>
      </c>
      <c r="E61" s="3" t="s">
        <v>501</v>
      </c>
      <c r="F61" s="3" t="s">
        <v>201</v>
      </c>
    </row>
    <row r="62" spans="1:6">
      <c r="A62" s="3" t="s">
        <v>205</v>
      </c>
      <c r="B62" s="3" t="s">
        <v>206</v>
      </c>
      <c r="C62" s="3" t="s">
        <v>201</v>
      </c>
      <c r="D62" s="3" t="s">
        <v>504</v>
      </c>
      <c r="E62" s="3" t="s">
        <v>505</v>
      </c>
      <c r="F62" s="3" t="s">
        <v>201</v>
      </c>
    </row>
    <row r="63" spans="1:6">
      <c r="A63" s="3" t="s">
        <v>209</v>
      </c>
      <c r="B63" s="3" t="s">
        <v>210</v>
      </c>
      <c r="C63" s="3" t="s">
        <v>164</v>
      </c>
      <c r="D63" s="3" t="s">
        <v>432</v>
      </c>
      <c r="E63" s="3" t="s">
        <v>78</v>
      </c>
      <c r="F63" s="3" t="s">
        <v>164</v>
      </c>
    </row>
    <row r="64" spans="1:6">
      <c r="A64" s="3" t="s">
        <v>209</v>
      </c>
      <c r="B64" s="3" t="s">
        <v>210</v>
      </c>
      <c r="C64" s="3" t="s">
        <v>164</v>
      </c>
      <c r="D64" s="3" t="s">
        <v>439</v>
      </c>
      <c r="E64" s="3" t="s">
        <v>440</v>
      </c>
      <c r="F64" s="3" t="s">
        <v>164</v>
      </c>
    </row>
    <row r="65" spans="1:6">
      <c r="A65" s="3" t="s">
        <v>209</v>
      </c>
      <c r="B65" s="3" t="s">
        <v>210</v>
      </c>
      <c r="C65" s="3" t="s">
        <v>164</v>
      </c>
      <c r="D65" s="3" t="s">
        <v>443</v>
      </c>
      <c r="E65" s="3" t="s">
        <v>444</v>
      </c>
      <c r="F65" s="3" t="s">
        <v>164</v>
      </c>
    </row>
    <row r="66" spans="1:6">
      <c r="A66" s="3" t="s">
        <v>209</v>
      </c>
      <c r="B66" s="3" t="s">
        <v>210</v>
      </c>
      <c r="C66" s="3" t="s">
        <v>164</v>
      </c>
      <c r="D66" s="3" t="s">
        <v>447</v>
      </c>
      <c r="E66" s="3" t="s">
        <v>448</v>
      </c>
      <c r="F66" s="3" t="s">
        <v>164</v>
      </c>
    </row>
    <row r="67" spans="1:6">
      <c r="A67" s="3" t="s">
        <v>209</v>
      </c>
      <c r="B67" s="3" t="s">
        <v>210</v>
      </c>
      <c r="C67" s="3" t="s">
        <v>164</v>
      </c>
      <c r="D67" s="3" t="s">
        <v>435</v>
      </c>
      <c r="E67" s="3" t="s">
        <v>436</v>
      </c>
      <c r="F67" s="3" t="s">
        <v>164</v>
      </c>
    </row>
    <row r="68" spans="1:6">
      <c r="A68" s="3" t="s">
        <v>209</v>
      </c>
      <c r="B68" s="3" t="s">
        <v>210</v>
      </c>
      <c r="C68" s="3" t="s">
        <v>164</v>
      </c>
      <c r="D68" s="3" t="s">
        <v>455</v>
      </c>
      <c r="E68" s="3" t="s">
        <v>103</v>
      </c>
      <c r="F68" s="3" t="s">
        <v>164</v>
      </c>
    </row>
    <row r="69" spans="1:6">
      <c r="A69" s="3" t="s">
        <v>209</v>
      </c>
      <c r="B69" s="3" t="s">
        <v>210</v>
      </c>
      <c r="C69" s="3" t="s">
        <v>164</v>
      </c>
      <c r="D69" s="3" t="s">
        <v>458</v>
      </c>
      <c r="E69" s="3" t="s">
        <v>459</v>
      </c>
      <c r="F69" s="3" t="s">
        <v>164</v>
      </c>
    </row>
    <row r="70" spans="1:6">
      <c r="A70" s="3" t="s">
        <v>209</v>
      </c>
      <c r="B70" s="3" t="s">
        <v>210</v>
      </c>
      <c r="C70" s="3" t="s">
        <v>164</v>
      </c>
      <c r="D70" s="3" t="s">
        <v>462</v>
      </c>
      <c r="E70" s="3" t="s">
        <v>463</v>
      </c>
      <c r="F70" s="3" t="s">
        <v>164</v>
      </c>
    </row>
    <row r="71" spans="1:6">
      <c r="A71" s="3" t="s">
        <v>215</v>
      </c>
      <c r="B71" s="3" t="s">
        <v>216</v>
      </c>
      <c r="C71" s="3" t="s">
        <v>164</v>
      </c>
      <c r="D71" s="3" t="s">
        <v>432</v>
      </c>
      <c r="E71" s="3" t="s">
        <v>78</v>
      </c>
      <c r="F71" s="3" t="s">
        <v>164</v>
      </c>
    </row>
    <row r="72" spans="1:6">
      <c r="A72" s="3" t="s">
        <v>215</v>
      </c>
      <c r="B72" s="3" t="s">
        <v>216</v>
      </c>
      <c r="C72" s="3" t="s">
        <v>164</v>
      </c>
      <c r="D72" s="3" t="s">
        <v>435</v>
      </c>
      <c r="E72" s="3" t="s">
        <v>436</v>
      </c>
      <c r="F72" s="3" t="s">
        <v>164</v>
      </c>
    </row>
    <row r="73" spans="1:6">
      <c r="A73" s="3" t="s">
        <v>215</v>
      </c>
      <c r="B73" s="3" t="s">
        <v>216</v>
      </c>
      <c r="C73" s="3" t="s">
        <v>164</v>
      </c>
      <c r="D73" s="3" t="s">
        <v>455</v>
      </c>
      <c r="E73" s="3" t="s">
        <v>103</v>
      </c>
      <c r="F73" s="3" t="s">
        <v>164</v>
      </c>
    </row>
    <row r="74" spans="1:6">
      <c r="A74" s="3" t="s">
        <v>215</v>
      </c>
      <c r="B74" s="3" t="s">
        <v>216</v>
      </c>
      <c r="C74" s="3" t="s">
        <v>164</v>
      </c>
      <c r="D74" s="3" t="s">
        <v>458</v>
      </c>
      <c r="E74" s="3" t="s">
        <v>459</v>
      </c>
      <c r="F74" s="3" t="s">
        <v>164</v>
      </c>
    </row>
    <row r="75" spans="1:6">
      <c r="A75" s="3" t="s">
        <v>215</v>
      </c>
      <c r="B75" s="3" t="s">
        <v>216</v>
      </c>
      <c r="C75" s="3" t="s">
        <v>164</v>
      </c>
      <c r="D75" s="3" t="s">
        <v>462</v>
      </c>
      <c r="E75" s="3" t="s">
        <v>463</v>
      </c>
      <c r="F75" s="3" t="s">
        <v>164</v>
      </c>
    </row>
    <row r="76" spans="1:6">
      <c r="A76" s="3" t="s">
        <v>221</v>
      </c>
      <c r="B76" s="3" t="s">
        <v>222</v>
      </c>
      <c r="C76" s="3" t="s">
        <v>164</v>
      </c>
      <c r="D76" s="3" t="s">
        <v>447</v>
      </c>
      <c r="E76" s="3" t="s">
        <v>448</v>
      </c>
      <c r="F76" s="3" t="s">
        <v>164</v>
      </c>
    </row>
    <row r="77" spans="1:6">
      <c r="A77" s="3" t="s">
        <v>221</v>
      </c>
      <c r="B77" s="3" t="s">
        <v>222</v>
      </c>
      <c r="C77" s="3" t="s">
        <v>164</v>
      </c>
      <c r="D77" s="3" t="s">
        <v>451</v>
      </c>
      <c r="E77" s="3" t="s">
        <v>452</v>
      </c>
      <c r="F77" s="3" t="s">
        <v>164</v>
      </c>
    </row>
    <row r="78" spans="1:6">
      <c r="A78" s="3" t="s">
        <v>221</v>
      </c>
      <c r="B78" s="3" t="s">
        <v>222</v>
      </c>
      <c r="C78" s="3" t="s">
        <v>164</v>
      </c>
      <c r="D78" s="3" t="s">
        <v>439</v>
      </c>
      <c r="E78" s="3" t="s">
        <v>440</v>
      </c>
      <c r="F78" s="3" t="s">
        <v>164</v>
      </c>
    </row>
    <row r="79" spans="1:6">
      <c r="A79" s="3" t="s">
        <v>226</v>
      </c>
      <c r="B79" s="3" t="s">
        <v>227</v>
      </c>
      <c r="C79" s="3" t="s">
        <v>175</v>
      </c>
      <c r="D79" s="3" t="s">
        <v>466</v>
      </c>
      <c r="E79" s="3" t="s">
        <v>87</v>
      </c>
      <c r="F79" s="3" t="s">
        <v>175</v>
      </c>
    </row>
    <row r="80" spans="1:6">
      <c r="A80" s="3" t="s">
        <v>226</v>
      </c>
      <c r="B80" s="3" t="s">
        <v>227</v>
      </c>
      <c r="C80" s="3" t="s">
        <v>175</v>
      </c>
      <c r="D80" s="3" t="s">
        <v>469</v>
      </c>
      <c r="E80" s="3" t="s">
        <v>470</v>
      </c>
      <c r="F80" s="3" t="s">
        <v>175</v>
      </c>
    </row>
    <row r="81" spans="1:6">
      <c r="A81" s="3" t="s">
        <v>226</v>
      </c>
      <c r="B81" s="3" t="s">
        <v>227</v>
      </c>
      <c r="C81" s="3" t="s">
        <v>175</v>
      </c>
      <c r="D81" s="3" t="s">
        <v>447</v>
      </c>
      <c r="E81" s="3" t="s">
        <v>448</v>
      </c>
      <c r="F81" s="3" t="s">
        <v>164</v>
      </c>
    </row>
    <row r="82" spans="1:6">
      <c r="A82" s="3" t="s">
        <v>231</v>
      </c>
      <c r="B82" s="3" t="s">
        <v>232</v>
      </c>
      <c r="C82" s="3" t="s">
        <v>201</v>
      </c>
      <c r="D82" s="3" t="s">
        <v>481</v>
      </c>
      <c r="E82" s="3" t="s">
        <v>482</v>
      </c>
      <c r="F82" s="3" t="s">
        <v>201</v>
      </c>
    </row>
    <row r="83" spans="1:6">
      <c r="A83" s="3" t="s">
        <v>231</v>
      </c>
      <c r="B83" s="3" t="s">
        <v>232</v>
      </c>
      <c r="C83" s="3" t="s">
        <v>201</v>
      </c>
      <c r="D83" s="3" t="s">
        <v>485</v>
      </c>
      <c r="E83" s="3" t="s">
        <v>486</v>
      </c>
      <c r="F83" s="3" t="s">
        <v>201</v>
      </c>
    </row>
    <row r="84" spans="1:6">
      <c r="A84" s="3" t="s">
        <v>231</v>
      </c>
      <c r="B84" s="3" t="s">
        <v>232</v>
      </c>
      <c r="C84" s="3" t="s">
        <v>201</v>
      </c>
      <c r="D84" s="3" t="s">
        <v>489</v>
      </c>
      <c r="E84" s="3" t="s">
        <v>490</v>
      </c>
      <c r="F84" s="3" t="s">
        <v>201</v>
      </c>
    </row>
    <row r="85" spans="1:6">
      <c r="A85" s="3" t="s">
        <v>231</v>
      </c>
      <c r="B85" s="3" t="s">
        <v>232</v>
      </c>
      <c r="C85" s="3" t="s">
        <v>201</v>
      </c>
      <c r="D85" s="3" t="s">
        <v>493</v>
      </c>
      <c r="E85" s="3" t="s">
        <v>494</v>
      </c>
      <c r="F85" s="3" t="s">
        <v>201</v>
      </c>
    </row>
    <row r="86" spans="1:6">
      <c r="A86" s="3" t="s">
        <v>231</v>
      </c>
      <c r="B86" s="3" t="s">
        <v>232</v>
      </c>
      <c r="C86" s="3" t="s">
        <v>201</v>
      </c>
      <c r="D86" s="3" t="s">
        <v>497</v>
      </c>
      <c r="E86" s="3" t="s">
        <v>498</v>
      </c>
      <c r="F86" s="3" t="s">
        <v>201</v>
      </c>
    </row>
    <row r="87" spans="1:6">
      <c r="A87" s="3" t="s">
        <v>231</v>
      </c>
      <c r="B87" s="3" t="s">
        <v>232</v>
      </c>
      <c r="C87" s="3" t="s">
        <v>201</v>
      </c>
      <c r="D87" s="3" t="s">
        <v>504</v>
      </c>
      <c r="E87" s="3" t="s">
        <v>505</v>
      </c>
      <c r="F87" s="3" t="s">
        <v>201</v>
      </c>
    </row>
    <row r="88" spans="1:6">
      <c r="A88" s="3" t="s">
        <v>236</v>
      </c>
      <c r="B88" s="3" t="s">
        <v>237</v>
      </c>
      <c r="C88" s="3" t="s">
        <v>238</v>
      </c>
      <c r="D88" s="3" t="s">
        <v>548</v>
      </c>
      <c r="E88" s="3" t="s">
        <v>549</v>
      </c>
      <c r="F88" s="3" t="s">
        <v>238</v>
      </c>
    </row>
    <row r="89" spans="1:6">
      <c r="A89" s="3" t="s">
        <v>236</v>
      </c>
      <c r="B89" s="3" t="s">
        <v>237</v>
      </c>
      <c r="C89" s="3" t="s">
        <v>238</v>
      </c>
      <c r="D89" s="3" t="s">
        <v>552</v>
      </c>
      <c r="E89" s="3" t="s">
        <v>553</v>
      </c>
      <c r="F89" s="3" t="s">
        <v>238</v>
      </c>
    </row>
    <row r="90" spans="1:6">
      <c r="A90" s="3" t="s">
        <v>241</v>
      </c>
      <c r="B90" s="3" t="s">
        <v>242</v>
      </c>
      <c r="C90" s="3" t="s">
        <v>238</v>
      </c>
      <c r="D90" s="3" t="s">
        <v>548</v>
      </c>
      <c r="E90" s="3" t="s">
        <v>549</v>
      </c>
      <c r="F90" s="3" t="s">
        <v>238</v>
      </c>
    </row>
    <row r="91" spans="1:6">
      <c r="A91" s="3" t="s">
        <v>241</v>
      </c>
      <c r="B91" s="3" t="s">
        <v>242</v>
      </c>
      <c r="C91" s="3" t="s">
        <v>238</v>
      </c>
      <c r="D91" s="3" t="s">
        <v>552</v>
      </c>
      <c r="E91" s="3" t="s">
        <v>553</v>
      </c>
      <c r="F91" s="3" t="s">
        <v>238</v>
      </c>
    </row>
    <row r="92" spans="1:6">
      <c r="A92" s="3" t="s">
        <v>245</v>
      </c>
      <c r="B92" s="3" t="s">
        <v>246</v>
      </c>
      <c r="C92" s="3" t="s">
        <v>247</v>
      </c>
      <c r="D92" s="3" t="s">
        <v>508</v>
      </c>
      <c r="E92" s="3" t="s">
        <v>509</v>
      </c>
      <c r="F92" s="3" t="s">
        <v>247</v>
      </c>
    </row>
    <row r="93" spans="1:6">
      <c r="A93" s="3" t="s">
        <v>245</v>
      </c>
      <c r="B93" s="3" t="s">
        <v>246</v>
      </c>
      <c r="C93" s="3" t="s">
        <v>247</v>
      </c>
      <c r="D93" s="3" t="s">
        <v>512</v>
      </c>
      <c r="E93" s="3" t="s">
        <v>513</v>
      </c>
      <c r="F93" s="3" t="s">
        <v>247</v>
      </c>
    </row>
    <row r="94" spans="1:6">
      <c r="A94" s="3" t="s">
        <v>245</v>
      </c>
      <c r="B94" s="3" t="s">
        <v>246</v>
      </c>
      <c r="C94" s="3" t="s">
        <v>247</v>
      </c>
      <c r="D94" s="3" t="s">
        <v>516</v>
      </c>
      <c r="E94" s="3" t="s">
        <v>517</v>
      </c>
      <c r="F94" s="3" t="s">
        <v>247</v>
      </c>
    </row>
    <row r="95" spans="1:6">
      <c r="A95" s="3" t="s">
        <v>245</v>
      </c>
      <c r="B95" s="3" t="s">
        <v>246</v>
      </c>
      <c r="C95" s="3" t="s">
        <v>247</v>
      </c>
      <c r="D95" s="3" t="s">
        <v>520</v>
      </c>
      <c r="E95" s="3" t="s">
        <v>505</v>
      </c>
      <c r="F95" s="3" t="s">
        <v>247</v>
      </c>
    </row>
    <row r="96" spans="1:6">
      <c r="A96" s="3" t="s">
        <v>245</v>
      </c>
      <c r="B96" s="3" t="s">
        <v>246</v>
      </c>
      <c r="C96" s="3" t="s">
        <v>247</v>
      </c>
      <c r="D96" s="3" t="s">
        <v>523</v>
      </c>
      <c r="E96" s="3" t="s">
        <v>524</v>
      </c>
      <c r="F96" s="3" t="s">
        <v>247</v>
      </c>
    </row>
    <row r="97" spans="1:6">
      <c r="A97" s="3" t="s">
        <v>245</v>
      </c>
      <c r="B97" s="3" t="s">
        <v>246</v>
      </c>
      <c r="C97" s="3" t="s">
        <v>247</v>
      </c>
      <c r="D97" s="3" t="s">
        <v>527</v>
      </c>
      <c r="E97" s="3" t="s">
        <v>96</v>
      </c>
      <c r="F97" s="3" t="s">
        <v>247</v>
      </c>
    </row>
    <row r="98" spans="1:6">
      <c r="A98" s="3" t="s">
        <v>245</v>
      </c>
      <c r="B98" s="3" t="s">
        <v>246</v>
      </c>
      <c r="C98" s="3" t="s">
        <v>247</v>
      </c>
      <c r="D98" s="3" t="s">
        <v>530</v>
      </c>
      <c r="E98" s="3" t="s">
        <v>531</v>
      </c>
      <c r="F98" s="3" t="s">
        <v>247</v>
      </c>
    </row>
    <row r="99" spans="1:6">
      <c r="A99" s="3" t="s">
        <v>245</v>
      </c>
      <c r="B99" s="3" t="s">
        <v>246</v>
      </c>
      <c r="C99" s="3" t="s">
        <v>247</v>
      </c>
      <c r="D99" s="3" t="s">
        <v>533</v>
      </c>
      <c r="E99" s="3" t="s">
        <v>534</v>
      </c>
      <c r="F99" s="3" t="s">
        <v>247</v>
      </c>
    </row>
    <row r="100" spans="1:6">
      <c r="A100" s="3" t="s">
        <v>245</v>
      </c>
      <c r="B100" s="3" t="s">
        <v>246</v>
      </c>
      <c r="C100" s="3" t="s">
        <v>247</v>
      </c>
      <c r="D100" s="3" t="s">
        <v>540</v>
      </c>
      <c r="E100" s="3" t="s">
        <v>541</v>
      </c>
      <c r="F100" s="3" t="s">
        <v>247</v>
      </c>
    </row>
    <row r="101" spans="1:6">
      <c r="A101" s="3" t="s">
        <v>245</v>
      </c>
      <c r="B101" s="3" t="s">
        <v>246</v>
      </c>
      <c r="C101" s="3" t="s">
        <v>247</v>
      </c>
      <c r="D101" s="3" t="s">
        <v>544</v>
      </c>
      <c r="E101" s="3" t="s">
        <v>545</v>
      </c>
      <c r="F101" s="3" t="s">
        <v>247</v>
      </c>
    </row>
    <row r="102" spans="1:6">
      <c r="A102" s="3" t="s">
        <v>95</v>
      </c>
      <c r="B102" s="3" t="s">
        <v>251</v>
      </c>
      <c r="C102" s="3" t="s">
        <v>247</v>
      </c>
      <c r="D102" s="3" t="s">
        <v>508</v>
      </c>
      <c r="E102" s="3" t="s">
        <v>509</v>
      </c>
      <c r="F102" s="3" t="s">
        <v>247</v>
      </c>
    </row>
    <row r="103" spans="1:6">
      <c r="A103" s="3" t="s">
        <v>95</v>
      </c>
      <c r="B103" s="3" t="s">
        <v>251</v>
      </c>
      <c r="C103" s="3" t="s">
        <v>247</v>
      </c>
      <c r="D103" s="3" t="s">
        <v>512</v>
      </c>
      <c r="E103" s="3" t="s">
        <v>513</v>
      </c>
      <c r="F103" s="3" t="s">
        <v>247</v>
      </c>
    </row>
    <row r="104" spans="1:6">
      <c r="A104" s="3" t="s">
        <v>95</v>
      </c>
      <c r="B104" s="3" t="s">
        <v>251</v>
      </c>
      <c r="C104" s="3" t="s">
        <v>247</v>
      </c>
      <c r="D104" s="3" t="s">
        <v>516</v>
      </c>
      <c r="E104" s="3" t="s">
        <v>517</v>
      </c>
      <c r="F104" s="3" t="s">
        <v>247</v>
      </c>
    </row>
    <row r="105" spans="1:6">
      <c r="A105" s="3" t="s">
        <v>95</v>
      </c>
      <c r="B105" s="3" t="s">
        <v>251</v>
      </c>
      <c r="C105" s="3" t="s">
        <v>247</v>
      </c>
      <c r="D105" s="3" t="s">
        <v>520</v>
      </c>
      <c r="E105" s="3" t="s">
        <v>505</v>
      </c>
      <c r="F105" s="3" t="s">
        <v>247</v>
      </c>
    </row>
    <row r="106" spans="1:6">
      <c r="A106" s="3" t="s">
        <v>95</v>
      </c>
      <c r="B106" s="3" t="s">
        <v>251</v>
      </c>
      <c r="C106" s="3" t="s">
        <v>247</v>
      </c>
      <c r="D106" s="3" t="s">
        <v>523</v>
      </c>
      <c r="E106" s="3" t="s">
        <v>524</v>
      </c>
      <c r="F106" s="3" t="s">
        <v>247</v>
      </c>
    </row>
    <row r="107" spans="1:6">
      <c r="A107" s="3" t="s">
        <v>95</v>
      </c>
      <c r="B107" s="3" t="s">
        <v>251</v>
      </c>
      <c r="C107" s="3" t="s">
        <v>247</v>
      </c>
      <c r="D107" s="3" t="s">
        <v>527</v>
      </c>
      <c r="E107" s="3" t="s">
        <v>96</v>
      </c>
      <c r="F107" s="3" t="s">
        <v>247</v>
      </c>
    </row>
    <row r="108" spans="1:6">
      <c r="A108" s="3" t="s">
        <v>95</v>
      </c>
      <c r="B108" s="3" t="s">
        <v>251</v>
      </c>
      <c r="C108" s="3" t="s">
        <v>247</v>
      </c>
      <c r="D108" s="3" t="s">
        <v>530</v>
      </c>
      <c r="E108" s="3" t="s">
        <v>531</v>
      </c>
      <c r="F108" s="3" t="s">
        <v>247</v>
      </c>
    </row>
    <row r="109" spans="1:6">
      <c r="A109" s="3" t="s">
        <v>95</v>
      </c>
      <c r="B109" s="3" t="s">
        <v>251</v>
      </c>
      <c r="C109" s="3" t="s">
        <v>247</v>
      </c>
      <c r="D109" s="3" t="s">
        <v>533</v>
      </c>
      <c r="E109" s="3" t="s">
        <v>534</v>
      </c>
      <c r="F109" s="3" t="s">
        <v>247</v>
      </c>
    </row>
    <row r="110" spans="1:6">
      <c r="A110" s="3" t="s">
        <v>95</v>
      </c>
      <c r="B110" s="3" t="s">
        <v>251</v>
      </c>
      <c r="C110" s="3" t="s">
        <v>247</v>
      </c>
      <c r="D110" s="3" t="s">
        <v>540</v>
      </c>
      <c r="E110" s="3" t="s">
        <v>541</v>
      </c>
      <c r="F110" s="3" t="s">
        <v>247</v>
      </c>
    </row>
    <row r="111" spans="1:6">
      <c r="A111" s="3" t="s">
        <v>95</v>
      </c>
      <c r="B111" s="3" t="s">
        <v>251</v>
      </c>
      <c r="C111" s="3" t="s">
        <v>247</v>
      </c>
      <c r="D111" s="3" t="s">
        <v>544</v>
      </c>
      <c r="E111" s="3" t="s">
        <v>545</v>
      </c>
      <c r="F111" s="3" t="s">
        <v>247</v>
      </c>
    </row>
    <row r="112" spans="1:6">
      <c r="A112" s="3" t="s">
        <v>253</v>
      </c>
      <c r="B112" s="3" t="s">
        <v>254</v>
      </c>
      <c r="C112" s="3" t="s">
        <v>247</v>
      </c>
      <c r="D112" s="3" t="s">
        <v>508</v>
      </c>
      <c r="E112" s="3" t="s">
        <v>509</v>
      </c>
      <c r="F112" s="3" t="s">
        <v>247</v>
      </c>
    </row>
    <row r="113" spans="1:6">
      <c r="A113" s="3" t="s">
        <v>253</v>
      </c>
      <c r="B113" s="3" t="s">
        <v>254</v>
      </c>
      <c r="C113" s="3" t="s">
        <v>247</v>
      </c>
      <c r="D113" s="3" t="s">
        <v>512</v>
      </c>
      <c r="E113" s="3" t="s">
        <v>513</v>
      </c>
      <c r="F113" s="3" t="s">
        <v>247</v>
      </c>
    </row>
    <row r="114" spans="1:6">
      <c r="A114" s="3" t="s">
        <v>253</v>
      </c>
      <c r="B114" s="3" t="s">
        <v>254</v>
      </c>
      <c r="C114" s="3" t="s">
        <v>247</v>
      </c>
      <c r="D114" s="3" t="s">
        <v>516</v>
      </c>
      <c r="E114" s="3" t="s">
        <v>517</v>
      </c>
      <c r="F114" s="3" t="s">
        <v>247</v>
      </c>
    </row>
    <row r="115" spans="1:6">
      <c r="A115" s="3" t="s">
        <v>253</v>
      </c>
      <c r="B115" s="3" t="s">
        <v>254</v>
      </c>
      <c r="C115" s="3" t="s">
        <v>247</v>
      </c>
      <c r="D115" s="3" t="s">
        <v>520</v>
      </c>
      <c r="E115" s="3" t="s">
        <v>505</v>
      </c>
      <c r="F115" s="3" t="s">
        <v>247</v>
      </c>
    </row>
    <row r="116" spans="1:6">
      <c r="A116" s="3" t="s">
        <v>253</v>
      </c>
      <c r="B116" s="3" t="s">
        <v>254</v>
      </c>
      <c r="C116" s="3" t="s">
        <v>247</v>
      </c>
      <c r="D116" s="3" t="s">
        <v>523</v>
      </c>
      <c r="E116" s="3" t="s">
        <v>524</v>
      </c>
      <c r="F116" s="3" t="s">
        <v>247</v>
      </c>
    </row>
    <row r="117" spans="1:6">
      <c r="A117" s="3" t="s">
        <v>253</v>
      </c>
      <c r="B117" s="3" t="s">
        <v>254</v>
      </c>
      <c r="C117" s="3" t="s">
        <v>247</v>
      </c>
      <c r="D117" s="3" t="s">
        <v>527</v>
      </c>
      <c r="E117" s="3" t="s">
        <v>96</v>
      </c>
      <c r="F117" s="3" t="s">
        <v>247</v>
      </c>
    </row>
    <row r="118" spans="1:6">
      <c r="A118" s="3" t="s">
        <v>253</v>
      </c>
      <c r="B118" s="3" t="s">
        <v>254</v>
      </c>
      <c r="C118" s="3" t="s">
        <v>247</v>
      </c>
      <c r="D118" s="3" t="s">
        <v>530</v>
      </c>
      <c r="E118" s="3" t="s">
        <v>531</v>
      </c>
      <c r="F118" s="3" t="s">
        <v>247</v>
      </c>
    </row>
    <row r="119" spans="1:6">
      <c r="A119" s="3" t="s">
        <v>253</v>
      </c>
      <c r="B119" s="3" t="s">
        <v>254</v>
      </c>
      <c r="C119" s="3" t="s">
        <v>247</v>
      </c>
      <c r="D119" s="3" t="s">
        <v>533</v>
      </c>
      <c r="E119" s="3" t="s">
        <v>534</v>
      </c>
      <c r="F119" s="3" t="s">
        <v>247</v>
      </c>
    </row>
    <row r="120" spans="1:6">
      <c r="A120" s="3" t="s">
        <v>253</v>
      </c>
      <c r="B120" s="3" t="s">
        <v>254</v>
      </c>
      <c r="C120" s="3" t="s">
        <v>247</v>
      </c>
      <c r="D120" s="3" t="s">
        <v>540</v>
      </c>
      <c r="E120" s="3" t="s">
        <v>541</v>
      </c>
      <c r="F120" s="3" t="s">
        <v>247</v>
      </c>
    </row>
    <row r="121" spans="1:6">
      <c r="A121" s="3" t="s">
        <v>253</v>
      </c>
      <c r="B121" s="3" t="s">
        <v>254</v>
      </c>
      <c r="C121" s="3" t="s">
        <v>247</v>
      </c>
      <c r="D121" s="3" t="s">
        <v>544</v>
      </c>
      <c r="E121" s="3" t="s">
        <v>545</v>
      </c>
      <c r="F121" s="3" t="s">
        <v>247</v>
      </c>
    </row>
    <row r="122" spans="1:6">
      <c r="A122" s="3" t="s">
        <v>256</v>
      </c>
      <c r="B122" s="3" t="s">
        <v>257</v>
      </c>
      <c r="C122" s="3" t="s">
        <v>247</v>
      </c>
      <c r="D122" s="3" t="s">
        <v>508</v>
      </c>
      <c r="E122" s="3" t="s">
        <v>509</v>
      </c>
      <c r="F122" s="3" t="s">
        <v>247</v>
      </c>
    </row>
    <row r="123" spans="1:6">
      <c r="A123" s="3" t="s">
        <v>256</v>
      </c>
      <c r="B123" s="3" t="s">
        <v>257</v>
      </c>
      <c r="C123" s="3" t="s">
        <v>247</v>
      </c>
      <c r="D123" s="3" t="s">
        <v>512</v>
      </c>
      <c r="E123" s="3" t="s">
        <v>513</v>
      </c>
      <c r="F123" s="3" t="s">
        <v>247</v>
      </c>
    </row>
    <row r="124" spans="1:6">
      <c r="A124" s="3" t="s">
        <v>256</v>
      </c>
      <c r="B124" s="3" t="s">
        <v>257</v>
      </c>
      <c r="C124" s="3" t="s">
        <v>247</v>
      </c>
      <c r="D124" s="3" t="s">
        <v>523</v>
      </c>
      <c r="E124" s="3" t="s">
        <v>524</v>
      </c>
      <c r="F124" s="3" t="s">
        <v>247</v>
      </c>
    </row>
    <row r="125" spans="1:6">
      <c r="A125" s="3" t="s">
        <v>256</v>
      </c>
      <c r="B125" s="3" t="s">
        <v>257</v>
      </c>
      <c r="C125" s="3" t="s">
        <v>247</v>
      </c>
      <c r="D125" s="3" t="s">
        <v>527</v>
      </c>
      <c r="E125" s="3" t="s">
        <v>96</v>
      </c>
      <c r="F125" s="3" t="s">
        <v>247</v>
      </c>
    </row>
    <row r="126" spans="1:6">
      <c r="A126" s="3" t="s">
        <v>261</v>
      </c>
      <c r="B126" s="3" t="s">
        <v>262</v>
      </c>
      <c r="C126" s="3" t="s">
        <v>164</v>
      </c>
      <c r="D126" s="3" t="s">
        <v>432</v>
      </c>
      <c r="E126" s="3" t="s">
        <v>78</v>
      </c>
      <c r="F126" s="3" t="s">
        <v>164</v>
      </c>
    </row>
    <row r="127" spans="1:6">
      <c r="A127" s="3" t="s">
        <v>261</v>
      </c>
      <c r="B127" s="3" t="s">
        <v>262</v>
      </c>
      <c r="C127" s="3" t="s">
        <v>164</v>
      </c>
      <c r="D127" s="3" t="s">
        <v>447</v>
      </c>
      <c r="E127" s="3" t="s">
        <v>448</v>
      </c>
      <c r="F127" s="3" t="s">
        <v>164</v>
      </c>
    </row>
    <row r="128" spans="1:6">
      <c r="A128" s="3" t="s">
        <v>261</v>
      </c>
      <c r="B128" s="3" t="s">
        <v>262</v>
      </c>
      <c r="C128" s="3" t="s">
        <v>164</v>
      </c>
      <c r="D128" s="3" t="s">
        <v>455</v>
      </c>
      <c r="E128" s="3" t="s">
        <v>103</v>
      </c>
      <c r="F128" s="3" t="s">
        <v>164</v>
      </c>
    </row>
    <row r="129" spans="1:6">
      <c r="A129" s="3" t="s">
        <v>267</v>
      </c>
      <c r="B129" s="3" t="s">
        <v>268</v>
      </c>
      <c r="C129" s="3" t="s">
        <v>164</v>
      </c>
      <c r="D129" s="3" t="s">
        <v>432</v>
      </c>
      <c r="E129" s="3" t="s">
        <v>78</v>
      </c>
      <c r="F129" s="3" t="s">
        <v>164</v>
      </c>
    </row>
    <row r="130" spans="1:6">
      <c r="A130" s="3" t="s">
        <v>267</v>
      </c>
      <c r="B130" s="3" t="s">
        <v>268</v>
      </c>
      <c r="C130" s="3" t="s">
        <v>164</v>
      </c>
      <c r="D130" s="3" t="s">
        <v>447</v>
      </c>
      <c r="E130" s="3" t="s">
        <v>448</v>
      </c>
      <c r="F130" s="3" t="s">
        <v>164</v>
      </c>
    </row>
    <row r="131" spans="1:6">
      <c r="A131" s="3" t="s">
        <v>267</v>
      </c>
      <c r="B131" s="3" t="s">
        <v>268</v>
      </c>
      <c r="C131" s="3" t="s">
        <v>164</v>
      </c>
      <c r="D131" s="3" t="s">
        <v>455</v>
      </c>
      <c r="E131" s="3" t="s">
        <v>103</v>
      </c>
      <c r="F131" s="3" t="s">
        <v>164</v>
      </c>
    </row>
    <row r="132" spans="1:6">
      <c r="A132" s="3" t="s">
        <v>271</v>
      </c>
      <c r="B132" s="3" t="s">
        <v>272</v>
      </c>
      <c r="C132" s="3" t="s">
        <v>164</v>
      </c>
      <c r="D132" s="3" t="s">
        <v>432</v>
      </c>
      <c r="E132" s="3" t="s">
        <v>78</v>
      </c>
      <c r="F132" s="3" t="s">
        <v>164</v>
      </c>
    </row>
    <row r="133" spans="1:6">
      <c r="A133" s="3" t="s">
        <v>271</v>
      </c>
      <c r="B133" s="3" t="s">
        <v>272</v>
      </c>
      <c r="C133" s="3" t="s">
        <v>164</v>
      </c>
      <c r="D133" s="3" t="s">
        <v>447</v>
      </c>
      <c r="E133" s="3" t="s">
        <v>448</v>
      </c>
      <c r="F133" s="3" t="s">
        <v>164</v>
      </c>
    </row>
    <row r="134" spans="1:6">
      <c r="A134" s="3" t="s">
        <v>271</v>
      </c>
      <c r="B134" s="3" t="s">
        <v>272</v>
      </c>
      <c r="C134" s="3" t="s">
        <v>164</v>
      </c>
      <c r="D134" s="3" t="s">
        <v>455</v>
      </c>
      <c r="E134" s="3" t="s">
        <v>103</v>
      </c>
      <c r="F134" s="3" t="s">
        <v>164</v>
      </c>
    </row>
    <row r="135" spans="1:6">
      <c r="A135" s="3" t="s">
        <v>275</v>
      </c>
      <c r="B135" s="3" t="s">
        <v>276</v>
      </c>
      <c r="C135" s="3" t="s">
        <v>201</v>
      </c>
      <c r="D135" s="3" t="s">
        <v>481</v>
      </c>
      <c r="E135" s="3" t="s">
        <v>482</v>
      </c>
      <c r="F135" s="3" t="s">
        <v>201</v>
      </c>
    </row>
    <row r="136" spans="1:6">
      <c r="A136" s="3" t="s">
        <v>275</v>
      </c>
      <c r="B136" s="3" t="s">
        <v>276</v>
      </c>
      <c r="C136" s="3" t="s">
        <v>201</v>
      </c>
      <c r="D136" s="3" t="s">
        <v>485</v>
      </c>
      <c r="E136" s="3" t="s">
        <v>486</v>
      </c>
      <c r="F136" s="3" t="s">
        <v>201</v>
      </c>
    </row>
    <row r="137" spans="1:6">
      <c r="A137" s="3" t="s">
        <v>275</v>
      </c>
      <c r="B137" s="3" t="s">
        <v>276</v>
      </c>
      <c r="C137" s="3" t="s">
        <v>201</v>
      </c>
      <c r="D137" s="3" t="s">
        <v>489</v>
      </c>
      <c r="E137" s="3" t="s">
        <v>490</v>
      </c>
      <c r="F137" s="3" t="s">
        <v>201</v>
      </c>
    </row>
    <row r="138" spans="1:6">
      <c r="A138" s="3" t="s">
        <v>275</v>
      </c>
      <c r="B138" s="3" t="s">
        <v>276</v>
      </c>
      <c r="C138" s="3" t="s">
        <v>201</v>
      </c>
      <c r="D138" s="3" t="s">
        <v>493</v>
      </c>
      <c r="E138" s="3" t="s">
        <v>494</v>
      </c>
      <c r="F138" s="3" t="s">
        <v>201</v>
      </c>
    </row>
    <row r="139" spans="1:6">
      <c r="A139" s="3" t="s">
        <v>275</v>
      </c>
      <c r="B139" s="3" t="s">
        <v>276</v>
      </c>
      <c r="C139" s="3" t="s">
        <v>201</v>
      </c>
      <c r="D139" s="3" t="s">
        <v>497</v>
      </c>
      <c r="E139" s="3" t="s">
        <v>498</v>
      </c>
      <c r="F139" s="3" t="s">
        <v>201</v>
      </c>
    </row>
    <row r="140" spans="1:6">
      <c r="A140" s="3" t="s">
        <v>275</v>
      </c>
      <c r="B140" s="3" t="s">
        <v>276</v>
      </c>
      <c r="C140" s="3" t="s">
        <v>201</v>
      </c>
      <c r="D140" s="3" t="s">
        <v>504</v>
      </c>
      <c r="E140" s="3" t="s">
        <v>505</v>
      </c>
      <c r="F140" s="3" t="s">
        <v>201</v>
      </c>
    </row>
    <row r="141" spans="1:6">
      <c r="A141" s="3" t="s">
        <v>279</v>
      </c>
      <c r="B141" s="3" t="s">
        <v>280</v>
      </c>
      <c r="C141" s="3" t="s">
        <v>201</v>
      </c>
      <c r="D141" s="3" t="s">
        <v>481</v>
      </c>
      <c r="E141" s="3" t="s">
        <v>482</v>
      </c>
      <c r="F141" s="3" t="s">
        <v>201</v>
      </c>
    </row>
    <row r="142" spans="1:6">
      <c r="A142" s="3" t="s">
        <v>279</v>
      </c>
      <c r="B142" s="3" t="s">
        <v>280</v>
      </c>
      <c r="C142" s="3" t="s">
        <v>201</v>
      </c>
      <c r="D142" s="3" t="s">
        <v>485</v>
      </c>
      <c r="E142" s="3" t="s">
        <v>486</v>
      </c>
      <c r="F142" s="3" t="s">
        <v>201</v>
      </c>
    </row>
    <row r="143" spans="1:6">
      <c r="A143" s="3" t="s">
        <v>279</v>
      </c>
      <c r="B143" s="3" t="s">
        <v>280</v>
      </c>
      <c r="C143" s="3" t="s">
        <v>201</v>
      </c>
      <c r="D143" s="3" t="s">
        <v>489</v>
      </c>
      <c r="E143" s="3" t="s">
        <v>490</v>
      </c>
      <c r="F143" s="3" t="s">
        <v>201</v>
      </c>
    </row>
    <row r="144" spans="1:6">
      <c r="A144" s="3" t="s">
        <v>279</v>
      </c>
      <c r="B144" s="3" t="s">
        <v>280</v>
      </c>
      <c r="C144" s="3" t="s">
        <v>201</v>
      </c>
      <c r="D144" s="3" t="s">
        <v>493</v>
      </c>
      <c r="E144" s="3" t="s">
        <v>494</v>
      </c>
      <c r="F144" s="3" t="s">
        <v>201</v>
      </c>
    </row>
    <row r="145" spans="1:6">
      <c r="A145" s="3" t="s">
        <v>279</v>
      </c>
      <c r="B145" s="3" t="s">
        <v>280</v>
      </c>
      <c r="C145" s="3" t="s">
        <v>201</v>
      </c>
      <c r="D145" s="3" t="s">
        <v>497</v>
      </c>
      <c r="E145" s="3" t="s">
        <v>498</v>
      </c>
      <c r="F145" s="3" t="s">
        <v>201</v>
      </c>
    </row>
    <row r="146" spans="1:6">
      <c r="A146" s="3" t="s">
        <v>279</v>
      </c>
      <c r="B146" s="3" t="s">
        <v>280</v>
      </c>
      <c r="C146" s="3" t="s">
        <v>201</v>
      </c>
      <c r="D146" s="3" t="s">
        <v>504</v>
      </c>
      <c r="E146" s="3" t="s">
        <v>505</v>
      </c>
      <c r="F146" s="3" t="s">
        <v>201</v>
      </c>
    </row>
    <row r="147" spans="1:6">
      <c r="A147" s="3" t="s">
        <v>283</v>
      </c>
      <c r="B147" s="3" t="s">
        <v>284</v>
      </c>
      <c r="C147" s="3" t="s">
        <v>201</v>
      </c>
      <c r="D147" s="3" t="s">
        <v>481</v>
      </c>
      <c r="E147" s="3" t="s">
        <v>482</v>
      </c>
      <c r="F147" s="3" t="s">
        <v>201</v>
      </c>
    </row>
    <row r="148" spans="1:6">
      <c r="A148" s="3" t="s">
        <v>283</v>
      </c>
      <c r="B148" s="3" t="s">
        <v>284</v>
      </c>
      <c r="C148" s="3" t="s">
        <v>201</v>
      </c>
      <c r="D148" s="3" t="s">
        <v>485</v>
      </c>
      <c r="E148" s="3" t="s">
        <v>486</v>
      </c>
      <c r="F148" s="3" t="s">
        <v>201</v>
      </c>
    </row>
    <row r="149" spans="1:6">
      <c r="A149" s="3" t="s">
        <v>283</v>
      </c>
      <c r="B149" s="3" t="s">
        <v>284</v>
      </c>
      <c r="C149" s="3" t="s">
        <v>201</v>
      </c>
      <c r="D149" s="3" t="s">
        <v>489</v>
      </c>
      <c r="E149" s="3" t="s">
        <v>490</v>
      </c>
      <c r="F149" s="3" t="s">
        <v>201</v>
      </c>
    </row>
    <row r="150" spans="1:6">
      <c r="A150" s="3" t="s">
        <v>283</v>
      </c>
      <c r="B150" s="3" t="s">
        <v>284</v>
      </c>
      <c r="C150" s="3" t="s">
        <v>201</v>
      </c>
      <c r="D150" s="3" t="s">
        <v>493</v>
      </c>
      <c r="E150" s="3" t="s">
        <v>494</v>
      </c>
      <c r="F150" s="3" t="s">
        <v>201</v>
      </c>
    </row>
    <row r="151" spans="1:6">
      <c r="A151" s="3" t="s">
        <v>283</v>
      </c>
      <c r="B151" s="3" t="s">
        <v>284</v>
      </c>
      <c r="C151" s="3" t="s">
        <v>201</v>
      </c>
      <c r="D151" s="3" t="s">
        <v>497</v>
      </c>
      <c r="E151" s="3" t="s">
        <v>498</v>
      </c>
      <c r="F151" s="3" t="s">
        <v>201</v>
      </c>
    </row>
    <row r="152" spans="1:6">
      <c r="A152" s="3" t="s">
        <v>283</v>
      </c>
      <c r="B152" s="3" t="s">
        <v>284</v>
      </c>
      <c r="C152" s="3" t="s">
        <v>201</v>
      </c>
      <c r="D152" s="3" t="s">
        <v>504</v>
      </c>
      <c r="E152" s="3" t="s">
        <v>505</v>
      </c>
      <c r="F152" s="3" t="s">
        <v>201</v>
      </c>
    </row>
    <row r="153" spans="1:6">
      <c r="A153" s="3" t="s">
        <v>287</v>
      </c>
      <c r="B153" s="3" t="s">
        <v>288</v>
      </c>
      <c r="C153" s="3" t="s">
        <v>201</v>
      </c>
      <c r="D153" s="3" t="s">
        <v>481</v>
      </c>
      <c r="E153" s="3" t="s">
        <v>482</v>
      </c>
      <c r="F153" s="3" t="s">
        <v>201</v>
      </c>
    </row>
    <row r="154" spans="1:6">
      <c r="A154" s="3" t="s">
        <v>287</v>
      </c>
      <c r="B154" s="3" t="s">
        <v>288</v>
      </c>
      <c r="C154" s="3" t="s">
        <v>201</v>
      </c>
      <c r="D154" s="3" t="s">
        <v>485</v>
      </c>
      <c r="E154" s="3" t="s">
        <v>486</v>
      </c>
      <c r="F154" s="3" t="s">
        <v>201</v>
      </c>
    </row>
    <row r="155" spans="1:6">
      <c r="A155" s="3" t="s">
        <v>287</v>
      </c>
      <c r="B155" s="3" t="s">
        <v>288</v>
      </c>
      <c r="C155" s="3" t="s">
        <v>201</v>
      </c>
      <c r="D155" s="3" t="s">
        <v>489</v>
      </c>
      <c r="E155" s="3" t="s">
        <v>490</v>
      </c>
      <c r="F155" s="3" t="s">
        <v>201</v>
      </c>
    </row>
    <row r="156" spans="1:6">
      <c r="A156" s="3" t="s">
        <v>287</v>
      </c>
      <c r="B156" s="3" t="s">
        <v>288</v>
      </c>
      <c r="C156" s="3" t="s">
        <v>201</v>
      </c>
      <c r="D156" s="3" t="s">
        <v>493</v>
      </c>
      <c r="E156" s="3" t="s">
        <v>494</v>
      </c>
      <c r="F156" s="3" t="s">
        <v>201</v>
      </c>
    </row>
    <row r="157" spans="1:6">
      <c r="A157" s="3" t="s">
        <v>287</v>
      </c>
      <c r="B157" s="3" t="s">
        <v>288</v>
      </c>
      <c r="C157" s="3" t="s">
        <v>201</v>
      </c>
      <c r="D157" s="3" t="s">
        <v>497</v>
      </c>
      <c r="E157" s="3" t="s">
        <v>498</v>
      </c>
      <c r="F157" s="3" t="s">
        <v>201</v>
      </c>
    </row>
    <row r="158" spans="1:6">
      <c r="A158" s="3" t="s">
        <v>287</v>
      </c>
      <c r="B158" s="3" t="s">
        <v>288</v>
      </c>
      <c r="C158" s="3" t="s">
        <v>201</v>
      </c>
      <c r="D158" s="3" t="s">
        <v>504</v>
      </c>
      <c r="E158" s="3" t="s">
        <v>505</v>
      </c>
      <c r="F158" s="3" t="s">
        <v>201</v>
      </c>
    </row>
    <row r="159" spans="1:6">
      <c r="A159" s="3" t="s">
        <v>291</v>
      </c>
      <c r="B159" s="3" t="s">
        <v>292</v>
      </c>
      <c r="C159" s="3" t="s">
        <v>201</v>
      </c>
      <c r="D159" s="3" t="s">
        <v>481</v>
      </c>
      <c r="E159" s="3" t="s">
        <v>482</v>
      </c>
      <c r="F159" s="3" t="s">
        <v>201</v>
      </c>
    </row>
    <row r="160" spans="1:6">
      <c r="A160" s="3" t="s">
        <v>291</v>
      </c>
      <c r="B160" s="3" t="s">
        <v>292</v>
      </c>
      <c r="C160" s="3" t="s">
        <v>201</v>
      </c>
      <c r="D160" s="3" t="s">
        <v>485</v>
      </c>
      <c r="E160" s="3" t="s">
        <v>486</v>
      </c>
      <c r="F160" s="3" t="s">
        <v>201</v>
      </c>
    </row>
    <row r="161" spans="1:6">
      <c r="A161" s="3" t="s">
        <v>291</v>
      </c>
      <c r="B161" s="3" t="s">
        <v>292</v>
      </c>
      <c r="C161" s="3" t="s">
        <v>201</v>
      </c>
      <c r="D161" s="3" t="s">
        <v>489</v>
      </c>
      <c r="E161" s="3" t="s">
        <v>490</v>
      </c>
      <c r="F161" s="3" t="s">
        <v>201</v>
      </c>
    </row>
    <row r="162" spans="1:6">
      <c r="A162" s="3" t="s">
        <v>291</v>
      </c>
      <c r="B162" s="3" t="s">
        <v>292</v>
      </c>
      <c r="C162" s="3" t="s">
        <v>201</v>
      </c>
      <c r="D162" s="3" t="s">
        <v>493</v>
      </c>
      <c r="E162" s="3" t="s">
        <v>494</v>
      </c>
      <c r="F162" s="3" t="s">
        <v>201</v>
      </c>
    </row>
    <row r="163" spans="1:6">
      <c r="A163" s="3" t="s">
        <v>291</v>
      </c>
      <c r="B163" s="3" t="s">
        <v>292</v>
      </c>
      <c r="C163" s="3" t="s">
        <v>201</v>
      </c>
      <c r="D163" s="3" t="s">
        <v>497</v>
      </c>
      <c r="E163" s="3" t="s">
        <v>498</v>
      </c>
      <c r="F163" s="3" t="s">
        <v>201</v>
      </c>
    </row>
    <row r="164" spans="1:6">
      <c r="A164" s="3" t="s">
        <v>291</v>
      </c>
      <c r="B164" s="3" t="s">
        <v>292</v>
      </c>
      <c r="C164" s="3" t="s">
        <v>201</v>
      </c>
      <c r="D164" s="3" t="s">
        <v>504</v>
      </c>
      <c r="E164" s="3" t="s">
        <v>505</v>
      </c>
      <c r="F164" s="3" t="s">
        <v>201</v>
      </c>
    </row>
    <row r="165" spans="1:6">
      <c r="A165" s="3" t="s">
        <v>295</v>
      </c>
      <c r="B165" s="3" t="s">
        <v>296</v>
      </c>
      <c r="C165" s="3" t="s">
        <v>175</v>
      </c>
      <c r="D165" s="3" t="s">
        <v>466</v>
      </c>
      <c r="E165" s="3" t="s">
        <v>87</v>
      </c>
      <c r="F165" s="3" t="s">
        <v>175</v>
      </c>
    </row>
    <row r="166" spans="1:6">
      <c r="A166" s="3" t="s">
        <v>295</v>
      </c>
      <c r="B166" s="3" t="s">
        <v>296</v>
      </c>
      <c r="C166" s="3" t="s">
        <v>175</v>
      </c>
      <c r="D166" s="3" t="s">
        <v>469</v>
      </c>
      <c r="E166" s="3" t="s">
        <v>470</v>
      </c>
      <c r="F166" s="3" t="s">
        <v>175</v>
      </c>
    </row>
    <row r="167" spans="1:6">
      <c r="A167" s="3" t="s">
        <v>295</v>
      </c>
      <c r="B167" s="3" t="s">
        <v>296</v>
      </c>
      <c r="C167" s="3" t="s">
        <v>175</v>
      </c>
      <c r="D167" s="3" t="s">
        <v>473</v>
      </c>
      <c r="E167" s="3" t="s">
        <v>474</v>
      </c>
      <c r="F167" s="3" t="s">
        <v>175</v>
      </c>
    </row>
    <row r="168" spans="1:6">
      <c r="A168" s="3" t="s">
        <v>295</v>
      </c>
      <c r="B168" s="3" t="s">
        <v>296</v>
      </c>
      <c r="C168" s="3" t="s">
        <v>175</v>
      </c>
      <c r="D168" s="3" t="s">
        <v>477</v>
      </c>
      <c r="E168" s="3" t="s">
        <v>478</v>
      </c>
      <c r="F168" s="3" t="s">
        <v>175</v>
      </c>
    </row>
    <row r="169" spans="1:6">
      <c r="A169" s="3" t="s">
        <v>299</v>
      </c>
      <c r="B169" s="3" t="s">
        <v>300</v>
      </c>
      <c r="C169" s="3" t="s">
        <v>175</v>
      </c>
      <c r="D169" s="3" t="s">
        <v>466</v>
      </c>
      <c r="E169" s="3" t="s">
        <v>87</v>
      </c>
      <c r="F169" s="3" t="s">
        <v>175</v>
      </c>
    </row>
    <row r="170" spans="1:6">
      <c r="A170" s="3" t="s">
        <v>299</v>
      </c>
      <c r="B170" s="3" t="s">
        <v>300</v>
      </c>
      <c r="C170" s="3" t="s">
        <v>175</v>
      </c>
      <c r="D170" s="3" t="s">
        <v>469</v>
      </c>
      <c r="E170" s="3" t="s">
        <v>470</v>
      </c>
      <c r="F170" s="3" t="s">
        <v>175</v>
      </c>
    </row>
    <row r="171" spans="1:6">
      <c r="A171" s="3" t="s">
        <v>299</v>
      </c>
      <c r="B171" s="3" t="s">
        <v>300</v>
      </c>
      <c r="C171" s="3" t="s">
        <v>175</v>
      </c>
      <c r="D171" s="3" t="s">
        <v>432</v>
      </c>
      <c r="E171" s="3" t="s">
        <v>78</v>
      </c>
      <c r="F171" s="3" t="s">
        <v>164</v>
      </c>
    </row>
    <row r="172" spans="1:6">
      <c r="A172" s="3" t="s">
        <v>304</v>
      </c>
      <c r="B172" s="3" t="s">
        <v>305</v>
      </c>
      <c r="C172" s="3" t="s">
        <v>247</v>
      </c>
      <c r="D172" s="3" t="s">
        <v>508</v>
      </c>
      <c r="E172" s="3" t="s">
        <v>509</v>
      </c>
      <c r="F172" s="3" t="s">
        <v>247</v>
      </c>
    </row>
    <row r="173" spans="1:6">
      <c r="A173" s="3" t="s">
        <v>304</v>
      </c>
      <c r="B173" s="3" t="s">
        <v>305</v>
      </c>
      <c r="C173" s="3" t="s">
        <v>247</v>
      </c>
      <c r="D173" s="3" t="s">
        <v>512</v>
      </c>
      <c r="E173" s="3" t="s">
        <v>513</v>
      </c>
      <c r="F173" s="3" t="s">
        <v>247</v>
      </c>
    </row>
    <row r="174" spans="1:6">
      <c r="A174" s="3" t="s">
        <v>304</v>
      </c>
      <c r="B174" s="3" t="s">
        <v>305</v>
      </c>
      <c r="C174" s="3" t="s">
        <v>247</v>
      </c>
      <c r="D174" s="3" t="s">
        <v>520</v>
      </c>
      <c r="E174" s="3" t="s">
        <v>505</v>
      </c>
      <c r="F174" s="3" t="s">
        <v>247</v>
      </c>
    </row>
    <row r="175" spans="1:6">
      <c r="A175" s="3" t="s">
        <v>304</v>
      </c>
      <c r="B175" s="3" t="s">
        <v>305</v>
      </c>
      <c r="C175" s="3" t="s">
        <v>247</v>
      </c>
      <c r="D175" s="3" t="s">
        <v>523</v>
      </c>
      <c r="E175" s="3" t="s">
        <v>524</v>
      </c>
      <c r="F175" s="3" t="s">
        <v>247</v>
      </c>
    </row>
    <row r="176" spans="1:6">
      <c r="A176" s="3" t="s">
        <v>304</v>
      </c>
      <c r="B176" s="3" t="s">
        <v>305</v>
      </c>
      <c r="C176" s="3" t="s">
        <v>247</v>
      </c>
      <c r="D176" s="3" t="s">
        <v>527</v>
      </c>
      <c r="E176" s="3" t="s">
        <v>96</v>
      </c>
      <c r="F176" s="3" t="s">
        <v>247</v>
      </c>
    </row>
    <row r="177" spans="1:6">
      <c r="A177" s="3" t="s">
        <v>308</v>
      </c>
      <c r="B177" s="3" t="s">
        <v>309</v>
      </c>
      <c r="C177" s="3" t="s">
        <v>201</v>
      </c>
      <c r="D177" s="3" t="s">
        <v>481</v>
      </c>
      <c r="E177" s="3" t="s">
        <v>482</v>
      </c>
      <c r="F177" s="3" t="s">
        <v>201</v>
      </c>
    </row>
    <row r="178" spans="1:6">
      <c r="A178" s="3" t="s">
        <v>308</v>
      </c>
      <c r="B178" s="3" t="s">
        <v>309</v>
      </c>
      <c r="C178" s="3" t="s">
        <v>201</v>
      </c>
      <c r="D178" s="3" t="s">
        <v>485</v>
      </c>
      <c r="E178" s="3" t="s">
        <v>486</v>
      </c>
      <c r="F178" s="3" t="s">
        <v>201</v>
      </c>
    </row>
    <row r="179" spans="1:6">
      <c r="A179" s="3" t="s">
        <v>308</v>
      </c>
      <c r="B179" s="3" t="s">
        <v>309</v>
      </c>
      <c r="C179" s="3" t="s">
        <v>201</v>
      </c>
      <c r="D179" s="3" t="s">
        <v>489</v>
      </c>
      <c r="E179" s="3" t="s">
        <v>490</v>
      </c>
      <c r="F179" s="3" t="s">
        <v>201</v>
      </c>
    </row>
    <row r="180" spans="1:6">
      <c r="A180" s="3" t="s">
        <v>308</v>
      </c>
      <c r="B180" s="3" t="s">
        <v>309</v>
      </c>
      <c r="C180" s="3" t="s">
        <v>201</v>
      </c>
      <c r="D180" s="3" t="s">
        <v>493</v>
      </c>
      <c r="E180" s="3" t="s">
        <v>494</v>
      </c>
      <c r="F180" s="3" t="s">
        <v>201</v>
      </c>
    </row>
    <row r="181" spans="1:6">
      <c r="A181" s="3" t="s">
        <v>308</v>
      </c>
      <c r="B181" s="3" t="s">
        <v>309</v>
      </c>
      <c r="C181" s="3" t="s">
        <v>201</v>
      </c>
      <c r="D181" s="3" t="s">
        <v>497</v>
      </c>
      <c r="E181" s="3" t="s">
        <v>498</v>
      </c>
      <c r="F181" s="3" t="s">
        <v>201</v>
      </c>
    </row>
    <row r="182" spans="1:6">
      <c r="A182" s="3" t="s">
        <v>308</v>
      </c>
      <c r="B182" s="3" t="s">
        <v>309</v>
      </c>
      <c r="C182" s="3" t="s">
        <v>201</v>
      </c>
      <c r="D182" s="3" t="s">
        <v>504</v>
      </c>
      <c r="E182" s="3" t="s">
        <v>505</v>
      </c>
      <c r="F182" s="3" t="s">
        <v>201</v>
      </c>
    </row>
    <row r="183" spans="1:6">
      <c r="A183" s="3" t="s">
        <v>312</v>
      </c>
      <c r="B183" s="3" t="s">
        <v>313</v>
      </c>
      <c r="C183" s="3" t="s">
        <v>201</v>
      </c>
      <c r="D183" s="3" t="s">
        <v>481</v>
      </c>
      <c r="E183" s="3" t="s">
        <v>482</v>
      </c>
      <c r="F183" s="3" t="s">
        <v>201</v>
      </c>
    </row>
    <row r="184" spans="1:6">
      <c r="A184" s="3" t="s">
        <v>312</v>
      </c>
      <c r="B184" s="3" t="s">
        <v>313</v>
      </c>
      <c r="C184" s="3" t="s">
        <v>201</v>
      </c>
      <c r="D184" s="3" t="s">
        <v>485</v>
      </c>
      <c r="E184" s="3" t="s">
        <v>486</v>
      </c>
      <c r="F184" s="3" t="s">
        <v>201</v>
      </c>
    </row>
    <row r="185" spans="1:6">
      <c r="A185" s="3" t="s">
        <v>312</v>
      </c>
      <c r="B185" s="3" t="s">
        <v>313</v>
      </c>
      <c r="C185" s="3" t="s">
        <v>201</v>
      </c>
      <c r="D185" s="3" t="s">
        <v>489</v>
      </c>
      <c r="E185" s="3" t="s">
        <v>490</v>
      </c>
      <c r="F185" s="3" t="s">
        <v>201</v>
      </c>
    </row>
    <row r="186" spans="1:6">
      <c r="A186" s="3" t="s">
        <v>312</v>
      </c>
      <c r="B186" s="3" t="s">
        <v>313</v>
      </c>
      <c r="C186" s="3" t="s">
        <v>201</v>
      </c>
      <c r="D186" s="3" t="s">
        <v>493</v>
      </c>
      <c r="E186" s="3" t="s">
        <v>494</v>
      </c>
      <c r="F186" s="3" t="s">
        <v>201</v>
      </c>
    </row>
    <row r="187" spans="1:6">
      <c r="A187" s="3" t="s">
        <v>312</v>
      </c>
      <c r="B187" s="3" t="s">
        <v>313</v>
      </c>
      <c r="C187" s="3" t="s">
        <v>201</v>
      </c>
      <c r="D187" s="3" t="s">
        <v>497</v>
      </c>
      <c r="E187" s="3" t="s">
        <v>498</v>
      </c>
      <c r="F187" s="3" t="s">
        <v>201</v>
      </c>
    </row>
    <row r="188" spans="1:6">
      <c r="A188" s="3" t="s">
        <v>312</v>
      </c>
      <c r="B188" s="3" t="s">
        <v>313</v>
      </c>
      <c r="C188" s="3" t="s">
        <v>201</v>
      </c>
      <c r="D188" s="3" t="s">
        <v>504</v>
      </c>
      <c r="E188" s="3" t="s">
        <v>505</v>
      </c>
      <c r="F188" s="3" t="s">
        <v>201</v>
      </c>
    </row>
    <row r="189" spans="1:6">
      <c r="A189" s="3" t="s">
        <v>316</v>
      </c>
      <c r="B189" s="3" t="s">
        <v>317</v>
      </c>
      <c r="C189" s="3" t="s">
        <v>238</v>
      </c>
      <c r="D189" s="3" t="s">
        <v>548</v>
      </c>
      <c r="E189" s="3" t="s">
        <v>549</v>
      </c>
      <c r="F189" s="3" t="s">
        <v>238</v>
      </c>
    </row>
    <row r="190" spans="1:6">
      <c r="A190" s="3" t="s">
        <v>316</v>
      </c>
      <c r="B190" s="3" t="s">
        <v>317</v>
      </c>
      <c r="C190" s="3" t="s">
        <v>238</v>
      </c>
      <c r="D190" s="3" t="s">
        <v>552</v>
      </c>
      <c r="E190" s="3" t="s">
        <v>553</v>
      </c>
      <c r="F190" s="3" t="s">
        <v>238</v>
      </c>
    </row>
    <row r="191" spans="1:6">
      <c r="A191" s="3" t="s">
        <v>316</v>
      </c>
      <c r="B191" s="3" t="s">
        <v>317</v>
      </c>
      <c r="C191" s="3" t="s">
        <v>238</v>
      </c>
      <c r="D191" s="3" t="s">
        <v>556</v>
      </c>
      <c r="E191" s="3" t="s">
        <v>557</v>
      </c>
      <c r="F191" s="3" t="s">
        <v>557</v>
      </c>
    </row>
    <row r="192" spans="1:6">
      <c r="A192" s="3" t="s">
        <v>316</v>
      </c>
      <c r="B192" s="3" t="s">
        <v>317</v>
      </c>
      <c r="C192" s="3" t="s">
        <v>238</v>
      </c>
      <c r="D192" s="3" t="s">
        <v>560</v>
      </c>
      <c r="E192" s="3" t="s">
        <v>561</v>
      </c>
      <c r="F192" s="3" t="s">
        <v>557</v>
      </c>
    </row>
    <row r="193" spans="1:6">
      <c r="A193" s="3" t="s">
        <v>320</v>
      </c>
      <c r="B193" s="3" t="s">
        <v>321</v>
      </c>
      <c r="C193" s="3" t="s">
        <v>201</v>
      </c>
      <c r="D193" s="3" t="s">
        <v>481</v>
      </c>
      <c r="E193" s="3" t="s">
        <v>482</v>
      </c>
      <c r="F193" s="3" t="s">
        <v>201</v>
      </c>
    </row>
    <row r="194" spans="1:6">
      <c r="A194" s="3" t="s">
        <v>320</v>
      </c>
      <c r="B194" s="3" t="s">
        <v>321</v>
      </c>
      <c r="C194" s="3" t="s">
        <v>201</v>
      </c>
      <c r="D194" s="3" t="s">
        <v>485</v>
      </c>
      <c r="E194" s="3" t="s">
        <v>486</v>
      </c>
      <c r="F194" s="3" t="s">
        <v>201</v>
      </c>
    </row>
    <row r="195" spans="1:6">
      <c r="A195" s="3" t="s">
        <v>320</v>
      </c>
      <c r="B195" s="3" t="s">
        <v>321</v>
      </c>
      <c r="C195" s="3" t="s">
        <v>201</v>
      </c>
      <c r="D195" s="3" t="s">
        <v>489</v>
      </c>
      <c r="E195" s="3" t="s">
        <v>490</v>
      </c>
      <c r="F195" s="3" t="s">
        <v>201</v>
      </c>
    </row>
    <row r="196" spans="1:6">
      <c r="A196" s="3" t="s">
        <v>320</v>
      </c>
      <c r="B196" s="3" t="s">
        <v>321</v>
      </c>
      <c r="C196" s="3" t="s">
        <v>201</v>
      </c>
      <c r="D196" s="3" t="s">
        <v>493</v>
      </c>
      <c r="E196" s="3" t="s">
        <v>494</v>
      </c>
      <c r="F196" s="3" t="s">
        <v>201</v>
      </c>
    </row>
    <row r="197" spans="1:6">
      <c r="A197" s="3" t="s">
        <v>320</v>
      </c>
      <c r="B197" s="3" t="s">
        <v>321</v>
      </c>
      <c r="C197" s="3" t="s">
        <v>201</v>
      </c>
      <c r="D197" s="3" t="s">
        <v>497</v>
      </c>
      <c r="E197" s="3" t="s">
        <v>498</v>
      </c>
      <c r="F197" s="3" t="s">
        <v>201</v>
      </c>
    </row>
    <row r="198" spans="1:6">
      <c r="A198" s="3" t="s">
        <v>320</v>
      </c>
      <c r="B198" s="3" t="s">
        <v>321</v>
      </c>
      <c r="C198" s="3" t="s">
        <v>201</v>
      </c>
      <c r="D198" s="3" t="s">
        <v>504</v>
      </c>
      <c r="E198" s="3" t="s">
        <v>505</v>
      </c>
      <c r="F198" s="3" t="s">
        <v>201</v>
      </c>
    </row>
    <row r="199" spans="1:6">
      <c r="A199" s="3" t="s">
        <v>325</v>
      </c>
      <c r="B199" s="3" t="s">
        <v>326</v>
      </c>
      <c r="C199" s="3" t="s">
        <v>164</v>
      </c>
      <c r="D199" s="3" t="s">
        <v>432</v>
      </c>
      <c r="E199" s="3" t="s">
        <v>78</v>
      </c>
      <c r="F199" s="3" t="s">
        <v>164</v>
      </c>
    </row>
    <row r="200" spans="1:6">
      <c r="A200" s="3" t="s">
        <v>325</v>
      </c>
      <c r="B200" s="3" t="s">
        <v>326</v>
      </c>
      <c r="C200" s="3" t="s">
        <v>164</v>
      </c>
      <c r="D200" s="3" t="s">
        <v>447</v>
      </c>
      <c r="E200" s="3" t="s">
        <v>448</v>
      </c>
      <c r="F200" s="3" t="s">
        <v>164</v>
      </c>
    </row>
    <row r="201" spans="1:6">
      <c r="A201" s="3" t="s">
        <v>325</v>
      </c>
      <c r="B201" s="3" t="s">
        <v>326</v>
      </c>
      <c r="C201" s="3" t="s">
        <v>164</v>
      </c>
      <c r="D201" s="3" t="s">
        <v>455</v>
      </c>
      <c r="E201" s="3" t="s">
        <v>103</v>
      </c>
      <c r="F201" s="3" t="s">
        <v>164</v>
      </c>
    </row>
    <row r="202" spans="1:6">
      <c r="A202" s="3" t="s">
        <v>330</v>
      </c>
      <c r="B202" s="3" t="s">
        <v>331</v>
      </c>
      <c r="C202" s="3" t="s">
        <v>164</v>
      </c>
      <c r="D202" s="3" t="s">
        <v>432</v>
      </c>
      <c r="E202" s="3" t="s">
        <v>78</v>
      </c>
      <c r="F202" s="3" t="s">
        <v>164</v>
      </c>
    </row>
    <row r="203" spans="1:6">
      <c r="A203" s="3" t="s">
        <v>330</v>
      </c>
      <c r="B203" s="3" t="s">
        <v>331</v>
      </c>
      <c r="C203" s="3" t="s">
        <v>164</v>
      </c>
      <c r="D203" s="3" t="s">
        <v>447</v>
      </c>
      <c r="E203" s="3" t="s">
        <v>448</v>
      </c>
      <c r="F203" s="3" t="s">
        <v>164</v>
      </c>
    </row>
    <row r="204" spans="1:6">
      <c r="A204" s="3" t="s">
        <v>330</v>
      </c>
      <c r="B204" s="3" t="s">
        <v>331</v>
      </c>
      <c r="C204" s="3" t="s">
        <v>164</v>
      </c>
      <c r="D204" s="3" t="s">
        <v>455</v>
      </c>
      <c r="E204" s="3" t="s">
        <v>103</v>
      </c>
      <c r="F204" s="3" t="s">
        <v>164</v>
      </c>
    </row>
    <row r="205" spans="1:6">
      <c r="A205" s="3" t="s">
        <v>334</v>
      </c>
      <c r="B205" s="3" t="s">
        <v>335</v>
      </c>
      <c r="C205" s="3" t="s">
        <v>201</v>
      </c>
      <c r="D205" s="3" t="s">
        <v>481</v>
      </c>
      <c r="E205" s="3" t="s">
        <v>482</v>
      </c>
      <c r="F205" s="3" t="s">
        <v>201</v>
      </c>
    </row>
    <row r="206" spans="1:6">
      <c r="A206" s="3" t="s">
        <v>334</v>
      </c>
      <c r="B206" s="3" t="s">
        <v>335</v>
      </c>
      <c r="C206" s="3" t="s">
        <v>201</v>
      </c>
      <c r="D206" s="3" t="s">
        <v>485</v>
      </c>
      <c r="E206" s="3" t="s">
        <v>486</v>
      </c>
      <c r="F206" s="3" t="s">
        <v>201</v>
      </c>
    </row>
    <row r="207" spans="1:6">
      <c r="A207" s="3" t="s">
        <v>334</v>
      </c>
      <c r="B207" s="3" t="s">
        <v>335</v>
      </c>
      <c r="C207" s="3" t="s">
        <v>201</v>
      </c>
      <c r="D207" s="3" t="s">
        <v>489</v>
      </c>
      <c r="E207" s="3" t="s">
        <v>490</v>
      </c>
      <c r="F207" s="3" t="s">
        <v>201</v>
      </c>
    </row>
    <row r="208" spans="1:6">
      <c r="A208" s="3" t="s">
        <v>334</v>
      </c>
      <c r="B208" s="3" t="s">
        <v>335</v>
      </c>
      <c r="C208" s="3" t="s">
        <v>201</v>
      </c>
      <c r="D208" s="3" t="s">
        <v>493</v>
      </c>
      <c r="E208" s="3" t="s">
        <v>494</v>
      </c>
      <c r="F208" s="3" t="s">
        <v>201</v>
      </c>
    </row>
    <row r="209" spans="1:6">
      <c r="A209" s="3" t="s">
        <v>334</v>
      </c>
      <c r="B209" s="3" t="s">
        <v>335</v>
      </c>
      <c r="C209" s="3" t="s">
        <v>201</v>
      </c>
      <c r="D209" s="3" t="s">
        <v>497</v>
      </c>
      <c r="E209" s="3" t="s">
        <v>498</v>
      </c>
      <c r="F209" s="3" t="s">
        <v>201</v>
      </c>
    </row>
    <row r="210" spans="1:6">
      <c r="A210" s="3" t="s">
        <v>334</v>
      </c>
      <c r="B210" s="3" t="s">
        <v>335</v>
      </c>
      <c r="C210" s="3" t="s">
        <v>201</v>
      </c>
      <c r="D210" s="3" t="s">
        <v>504</v>
      </c>
      <c r="E210" s="3" t="s">
        <v>505</v>
      </c>
      <c r="F210" s="3" t="s">
        <v>201</v>
      </c>
    </row>
    <row r="211" spans="1:6">
      <c r="A211" s="3" t="s">
        <v>338</v>
      </c>
      <c r="B211" s="3" t="s">
        <v>339</v>
      </c>
      <c r="C211" s="3" t="s">
        <v>201</v>
      </c>
      <c r="D211" s="3" t="s">
        <v>481</v>
      </c>
      <c r="E211" s="3" t="s">
        <v>482</v>
      </c>
      <c r="F211" s="3" t="s">
        <v>201</v>
      </c>
    </row>
    <row r="212" spans="1:6">
      <c r="A212" s="3" t="s">
        <v>338</v>
      </c>
      <c r="B212" s="3" t="s">
        <v>339</v>
      </c>
      <c r="C212" s="3" t="s">
        <v>201</v>
      </c>
      <c r="D212" s="3" t="s">
        <v>485</v>
      </c>
      <c r="E212" s="3" t="s">
        <v>486</v>
      </c>
      <c r="F212" s="3" t="s">
        <v>201</v>
      </c>
    </row>
    <row r="213" spans="1:6">
      <c r="A213" s="3" t="s">
        <v>338</v>
      </c>
      <c r="B213" s="3" t="s">
        <v>339</v>
      </c>
      <c r="C213" s="3" t="s">
        <v>201</v>
      </c>
      <c r="D213" s="3" t="s">
        <v>489</v>
      </c>
      <c r="E213" s="3" t="s">
        <v>490</v>
      </c>
      <c r="F213" s="3" t="s">
        <v>201</v>
      </c>
    </row>
    <row r="214" spans="1:6">
      <c r="A214" s="3" t="s">
        <v>338</v>
      </c>
      <c r="B214" s="3" t="s">
        <v>339</v>
      </c>
      <c r="C214" s="3" t="s">
        <v>201</v>
      </c>
      <c r="D214" s="3" t="s">
        <v>493</v>
      </c>
      <c r="E214" s="3" t="s">
        <v>494</v>
      </c>
      <c r="F214" s="3" t="s">
        <v>201</v>
      </c>
    </row>
    <row r="215" spans="1:6">
      <c r="A215" s="3" t="s">
        <v>338</v>
      </c>
      <c r="B215" s="3" t="s">
        <v>339</v>
      </c>
      <c r="C215" s="3" t="s">
        <v>201</v>
      </c>
      <c r="D215" s="3" t="s">
        <v>497</v>
      </c>
      <c r="E215" s="3" t="s">
        <v>498</v>
      </c>
      <c r="F215" s="3" t="s">
        <v>201</v>
      </c>
    </row>
    <row r="216" spans="1:6">
      <c r="A216" s="3" t="s">
        <v>338</v>
      </c>
      <c r="B216" s="3" t="s">
        <v>339</v>
      </c>
      <c r="C216" s="3" t="s">
        <v>201</v>
      </c>
      <c r="D216" s="3" t="s">
        <v>504</v>
      </c>
      <c r="E216" s="3" t="s">
        <v>505</v>
      </c>
      <c r="F216" s="3" t="s">
        <v>201</v>
      </c>
    </row>
    <row r="217" spans="1:6">
      <c r="A217" s="3" t="s">
        <v>342</v>
      </c>
      <c r="B217" s="3" t="s">
        <v>343</v>
      </c>
      <c r="C217" s="3" t="s">
        <v>238</v>
      </c>
      <c r="D217" s="3" t="s">
        <v>548</v>
      </c>
      <c r="E217" s="3" t="s">
        <v>549</v>
      </c>
      <c r="F217" s="3" t="s">
        <v>238</v>
      </c>
    </row>
    <row r="218" spans="1:6">
      <c r="A218" s="3" t="s">
        <v>342</v>
      </c>
      <c r="B218" s="3" t="s">
        <v>343</v>
      </c>
      <c r="C218" s="3" t="s">
        <v>238</v>
      </c>
      <c r="D218" s="3" t="s">
        <v>552</v>
      </c>
      <c r="E218" s="3" t="s">
        <v>553</v>
      </c>
      <c r="F218" s="3" t="s">
        <v>238</v>
      </c>
    </row>
    <row r="219" spans="1:6">
      <c r="A219" s="3" t="s">
        <v>345</v>
      </c>
      <c r="B219" s="3" t="s">
        <v>346</v>
      </c>
      <c r="C219" s="3" t="s">
        <v>201</v>
      </c>
      <c r="D219" s="3" t="s">
        <v>481</v>
      </c>
      <c r="E219" s="3" t="s">
        <v>482</v>
      </c>
      <c r="F219" s="3" t="s">
        <v>201</v>
      </c>
    </row>
    <row r="220" spans="1:6">
      <c r="A220" s="3" t="s">
        <v>345</v>
      </c>
      <c r="B220" s="3" t="s">
        <v>346</v>
      </c>
      <c r="C220" s="3" t="s">
        <v>201</v>
      </c>
      <c r="D220" s="3" t="s">
        <v>485</v>
      </c>
      <c r="E220" s="3" t="s">
        <v>486</v>
      </c>
      <c r="F220" s="3" t="s">
        <v>201</v>
      </c>
    </row>
    <row r="221" spans="1:6">
      <c r="A221" s="3" t="s">
        <v>345</v>
      </c>
      <c r="B221" s="3" t="s">
        <v>346</v>
      </c>
      <c r="C221" s="3" t="s">
        <v>201</v>
      </c>
      <c r="D221" s="3" t="s">
        <v>489</v>
      </c>
      <c r="E221" s="3" t="s">
        <v>490</v>
      </c>
      <c r="F221" s="3" t="s">
        <v>201</v>
      </c>
    </row>
    <row r="222" spans="1:6">
      <c r="A222" s="3" t="s">
        <v>345</v>
      </c>
      <c r="B222" s="3" t="s">
        <v>346</v>
      </c>
      <c r="C222" s="3" t="s">
        <v>201</v>
      </c>
      <c r="D222" s="3" t="s">
        <v>493</v>
      </c>
      <c r="E222" s="3" t="s">
        <v>494</v>
      </c>
      <c r="F222" s="3" t="s">
        <v>201</v>
      </c>
    </row>
    <row r="223" spans="1:6">
      <c r="A223" s="3" t="s">
        <v>345</v>
      </c>
      <c r="B223" s="3" t="s">
        <v>346</v>
      </c>
      <c r="C223" s="3" t="s">
        <v>201</v>
      </c>
      <c r="D223" s="3" t="s">
        <v>497</v>
      </c>
      <c r="E223" s="3" t="s">
        <v>498</v>
      </c>
      <c r="F223" s="3" t="s">
        <v>201</v>
      </c>
    </row>
    <row r="224" spans="1:6">
      <c r="A224" s="3" t="s">
        <v>345</v>
      </c>
      <c r="B224" s="3" t="s">
        <v>346</v>
      </c>
      <c r="C224" s="3" t="s">
        <v>201</v>
      </c>
      <c r="D224" s="3" t="s">
        <v>504</v>
      </c>
      <c r="E224" s="3" t="s">
        <v>505</v>
      </c>
      <c r="F224" s="3" t="s">
        <v>201</v>
      </c>
    </row>
    <row r="225" spans="1:6">
      <c r="A225" s="3" t="s">
        <v>349</v>
      </c>
      <c r="B225" s="3" t="s">
        <v>350</v>
      </c>
      <c r="C225" s="3" t="s">
        <v>201</v>
      </c>
      <c r="D225" s="3" t="s">
        <v>481</v>
      </c>
      <c r="E225" s="3" t="s">
        <v>482</v>
      </c>
      <c r="F225" s="3" t="s">
        <v>201</v>
      </c>
    </row>
    <row r="226" spans="1:6">
      <c r="A226" s="3" t="s">
        <v>349</v>
      </c>
      <c r="B226" s="3" t="s">
        <v>350</v>
      </c>
      <c r="C226" s="3" t="s">
        <v>201</v>
      </c>
      <c r="D226" s="3" t="s">
        <v>485</v>
      </c>
      <c r="E226" s="3" t="s">
        <v>486</v>
      </c>
      <c r="F226" s="3" t="s">
        <v>201</v>
      </c>
    </row>
    <row r="227" spans="1:6">
      <c r="A227" s="3" t="s">
        <v>349</v>
      </c>
      <c r="B227" s="3" t="s">
        <v>350</v>
      </c>
      <c r="C227" s="3" t="s">
        <v>201</v>
      </c>
      <c r="D227" s="3" t="s">
        <v>489</v>
      </c>
      <c r="E227" s="3" t="s">
        <v>490</v>
      </c>
      <c r="F227" s="3" t="s">
        <v>201</v>
      </c>
    </row>
    <row r="228" spans="1:6">
      <c r="A228" s="3" t="s">
        <v>349</v>
      </c>
      <c r="B228" s="3" t="s">
        <v>350</v>
      </c>
      <c r="C228" s="3" t="s">
        <v>201</v>
      </c>
      <c r="D228" s="3" t="s">
        <v>493</v>
      </c>
      <c r="E228" s="3" t="s">
        <v>494</v>
      </c>
      <c r="F228" s="3" t="s">
        <v>201</v>
      </c>
    </row>
    <row r="229" spans="1:6">
      <c r="A229" s="3" t="s">
        <v>349</v>
      </c>
      <c r="B229" s="3" t="s">
        <v>350</v>
      </c>
      <c r="C229" s="3" t="s">
        <v>201</v>
      </c>
      <c r="D229" s="3" t="s">
        <v>497</v>
      </c>
      <c r="E229" s="3" t="s">
        <v>498</v>
      </c>
      <c r="F229" s="3" t="s">
        <v>201</v>
      </c>
    </row>
    <row r="230" spans="1:6">
      <c r="A230" s="3" t="s">
        <v>349</v>
      </c>
      <c r="B230" s="3" t="s">
        <v>350</v>
      </c>
      <c r="C230" s="3" t="s">
        <v>201</v>
      </c>
      <c r="D230" s="3" t="s">
        <v>504</v>
      </c>
      <c r="E230" s="3" t="s">
        <v>505</v>
      </c>
      <c r="F230" s="3" t="s">
        <v>201</v>
      </c>
    </row>
    <row r="231" spans="1:6">
      <c r="A231" s="3" t="s">
        <v>351</v>
      </c>
      <c r="B231" s="3" t="s">
        <v>352</v>
      </c>
      <c r="C231" s="3" t="s">
        <v>201</v>
      </c>
      <c r="D231" s="3" t="s">
        <v>481</v>
      </c>
      <c r="E231" s="3" t="s">
        <v>482</v>
      </c>
      <c r="F231" s="3" t="s">
        <v>201</v>
      </c>
    </row>
    <row r="232" spans="1:6">
      <c r="A232" s="3" t="s">
        <v>351</v>
      </c>
      <c r="B232" s="3" t="s">
        <v>352</v>
      </c>
      <c r="C232" s="3" t="s">
        <v>201</v>
      </c>
      <c r="D232" s="3" t="s">
        <v>485</v>
      </c>
      <c r="E232" s="3" t="s">
        <v>486</v>
      </c>
      <c r="F232" s="3" t="s">
        <v>201</v>
      </c>
    </row>
    <row r="233" spans="1:6">
      <c r="A233" s="3" t="s">
        <v>351</v>
      </c>
      <c r="B233" s="3" t="s">
        <v>352</v>
      </c>
      <c r="C233" s="3" t="s">
        <v>201</v>
      </c>
      <c r="D233" s="3" t="s">
        <v>489</v>
      </c>
      <c r="E233" s="3" t="s">
        <v>490</v>
      </c>
      <c r="F233" s="3" t="s">
        <v>201</v>
      </c>
    </row>
    <row r="234" spans="1:6">
      <c r="A234" s="3" t="s">
        <v>351</v>
      </c>
      <c r="B234" s="3" t="s">
        <v>352</v>
      </c>
      <c r="C234" s="3" t="s">
        <v>201</v>
      </c>
      <c r="D234" s="3" t="s">
        <v>493</v>
      </c>
      <c r="E234" s="3" t="s">
        <v>494</v>
      </c>
      <c r="F234" s="3" t="s">
        <v>201</v>
      </c>
    </row>
    <row r="235" spans="1:6">
      <c r="A235" s="3" t="s">
        <v>351</v>
      </c>
      <c r="B235" s="3" t="s">
        <v>352</v>
      </c>
      <c r="C235" s="3" t="s">
        <v>201</v>
      </c>
      <c r="D235" s="3" t="s">
        <v>497</v>
      </c>
      <c r="E235" s="3" t="s">
        <v>498</v>
      </c>
      <c r="F235" s="3" t="s">
        <v>201</v>
      </c>
    </row>
    <row r="236" spans="1:6">
      <c r="A236" s="3" t="s">
        <v>351</v>
      </c>
      <c r="B236" s="3" t="s">
        <v>352</v>
      </c>
      <c r="C236" s="3" t="s">
        <v>201</v>
      </c>
      <c r="D236" s="3" t="s">
        <v>504</v>
      </c>
      <c r="E236" s="3" t="s">
        <v>505</v>
      </c>
      <c r="F236" s="3" t="s">
        <v>201</v>
      </c>
    </row>
    <row r="237" spans="1:6">
      <c r="A237" s="3" t="s">
        <v>353</v>
      </c>
      <c r="B237" s="3" t="s">
        <v>354</v>
      </c>
      <c r="C237" s="3" t="s">
        <v>175</v>
      </c>
      <c r="D237" s="3" t="s">
        <v>466</v>
      </c>
      <c r="E237" s="3" t="s">
        <v>87</v>
      </c>
      <c r="F237" s="3" t="s">
        <v>175</v>
      </c>
    </row>
    <row r="238" spans="1:6">
      <c r="A238" s="3" t="s">
        <v>353</v>
      </c>
      <c r="B238" s="3" t="s">
        <v>354</v>
      </c>
      <c r="C238" s="3" t="s">
        <v>175</v>
      </c>
      <c r="D238" s="3" t="s">
        <v>469</v>
      </c>
      <c r="E238" s="3" t="s">
        <v>470</v>
      </c>
      <c r="F238" s="3" t="s">
        <v>175</v>
      </c>
    </row>
    <row r="239" spans="1:6">
      <c r="A239" s="3" t="s">
        <v>353</v>
      </c>
      <c r="B239" s="3" t="s">
        <v>354</v>
      </c>
      <c r="C239" s="3" t="s">
        <v>175</v>
      </c>
      <c r="D239" s="3" t="s">
        <v>473</v>
      </c>
      <c r="E239" s="3" t="s">
        <v>474</v>
      </c>
      <c r="F239" s="3" t="s">
        <v>175</v>
      </c>
    </row>
    <row r="240" spans="1:6">
      <c r="A240" s="3" t="s">
        <v>353</v>
      </c>
      <c r="B240" s="3" t="s">
        <v>354</v>
      </c>
      <c r="C240" s="3" t="s">
        <v>175</v>
      </c>
      <c r="D240" s="3" t="s">
        <v>477</v>
      </c>
      <c r="E240" s="3" t="s">
        <v>478</v>
      </c>
      <c r="F240" s="3" t="s">
        <v>175</v>
      </c>
    </row>
    <row r="241" spans="1:6">
      <c r="A241" s="3" t="s">
        <v>353</v>
      </c>
      <c r="B241" s="3" t="s">
        <v>354</v>
      </c>
      <c r="C241" s="3" t="s">
        <v>175</v>
      </c>
      <c r="D241" s="3" t="s">
        <v>432</v>
      </c>
      <c r="E241" s="3" t="s">
        <v>78</v>
      </c>
      <c r="F241" s="3" t="s">
        <v>164</v>
      </c>
    </row>
    <row r="242" spans="1:6">
      <c r="A242" s="3" t="s">
        <v>357</v>
      </c>
      <c r="B242" s="3" t="s">
        <v>358</v>
      </c>
      <c r="C242" s="3" t="s">
        <v>164</v>
      </c>
      <c r="D242" s="3" t="s">
        <v>432</v>
      </c>
      <c r="E242" s="3" t="s">
        <v>78</v>
      </c>
      <c r="F242" s="3" t="s">
        <v>164</v>
      </c>
    </row>
    <row r="243" spans="1:6">
      <c r="A243" s="3" t="s">
        <v>357</v>
      </c>
      <c r="B243" s="3" t="s">
        <v>358</v>
      </c>
      <c r="C243" s="3" t="s">
        <v>164</v>
      </c>
      <c r="D243" s="3" t="s">
        <v>447</v>
      </c>
      <c r="E243" s="3" t="s">
        <v>448</v>
      </c>
      <c r="F243" s="3" t="s">
        <v>164</v>
      </c>
    </row>
    <row r="244" spans="1:6">
      <c r="A244" s="3" t="s">
        <v>357</v>
      </c>
      <c r="B244" s="3" t="s">
        <v>358</v>
      </c>
      <c r="C244" s="3" t="s">
        <v>164</v>
      </c>
      <c r="D244" s="3" t="s">
        <v>455</v>
      </c>
      <c r="E244" s="3" t="s">
        <v>103</v>
      </c>
      <c r="F244" s="3" t="s">
        <v>164</v>
      </c>
    </row>
    <row r="245" spans="1:6">
      <c r="A245" s="3" t="s">
        <v>362</v>
      </c>
      <c r="B245" s="3" t="s">
        <v>363</v>
      </c>
      <c r="C245" s="3" t="s">
        <v>164</v>
      </c>
      <c r="D245" s="3" t="s">
        <v>432</v>
      </c>
      <c r="E245" s="3" t="s">
        <v>78</v>
      </c>
      <c r="F245" s="3" t="s">
        <v>164</v>
      </c>
    </row>
    <row r="246" spans="1:6">
      <c r="A246" s="3" t="s">
        <v>362</v>
      </c>
      <c r="B246" s="3" t="s">
        <v>363</v>
      </c>
      <c r="C246" s="3" t="s">
        <v>164</v>
      </c>
      <c r="D246" s="3" t="s">
        <v>447</v>
      </c>
      <c r="E246" s="3" t="s">
        <v>448</v>
      </c>
      <c r="F246" s="3" t="s">
        <v>164</v>
      </c>
    </row>
    <row r="247" spans="1:6">
      <c r="A247" s="3" t="s">
        <v>362</v>
      </c>
      <c r="B247" s="3" t="s">
        <v>363</v>
      </c>
      <c r="C247" s="3" t="s">
        <v>164</v>
      </c>
      <c r="D247" s="3" t="s">
        <v>455</v>
      </c>
      <c r="E247" s="3" t="s">
        <v>103</v>
      </c>
      <c r="F247" s="3" t="s">
        <v>164</v>
      </c>
    </row>
    <row r="248" spans="1:6">
      <c r="A248" s="3" t="s">
        <v>366</v>
      </c>
      <c r="B248" s="3" t="s">
        <v>367</v>
      </c>
      <c r="C248" s="3" t="s">
        <v>201</v>
      </c>
      <c r="D248" s="3" t="s">
        <v>481</v>
      </c>
      <c r="E248" s="3" t="s">
        <v>482</v>
      </c>
      <c r="F248" s="3" t="s">
        <v>201</v>
      </c>
    </row>
    <row r="249" spans="1:6">
      <c r="A249" s="3" t="s">
        <v>366</v>
      </c>
      <c r="B249" s="3" t="s">
        <v>367</v>
      </c>
      <c r="C249" s="3" t="s">
        <v>201</v>
      </c>
      <c r="D249" s="3" t="s">
        <v>485</v>
      </c>
      <c r="E249" s="3" t="s">
        <v>486</v>
      </c>
      <c r="F249" s="3" t="s">
        <v>201</v>
      </c>
    </row>
    <row r="250" spans="1:6">
      <c r="A250" s="3" t="s">
        <v>366</v>
      </c>
      <c r="B250" s="3" t="s">
        <v>367</v>
      </c>
      <c r="C250" s="3" t="s">
        <v>201</v>
      </c>
      <c r="D250" s="3" t="s">
        <v>489</v>
      </c>
      <c r="E250" s="3" t="s">
        <v>490</v>
      </c>
      <c r="F250" s="3" t="s">
        <v>201</v>
      </c>
    </row>
    <row r="251" spans="1:6">
      <c r="A251" s="3" t="s">
        <v>366</v>
      </c>
      <c r="B251" s="3" t="s">
        <v>367</v>
      </c>
      <c r="C251" s="3" t="s">
        <v>201</v>
      </c>
      <c r="D251" s="3" t="s">
        <v>493</v>
      </c>
      <c r="E251" s="3" t="s">
        <v>494</v>
      </c>
      <c r="F251" s="3" t="s">
        <v>201</v>
      </c>
    </row>
    <row r="252" spans="1:6">
      <c r="A252" s="3" t="s">
        <v>366</v>
      </c>
      <c r="B252" s="3" t="s">
        <v>367</v>
      </c>
      <c r="C252" s="3" t="s">
        <v>201</v>
      </c>
      <c r="D252" s="3" t="s">
        <v>497</v>
      </c>
      <c r="E252" s="3" t="s">
        <v>498</v>
      </c>
      <c r="F252" s="3" t="s">
        <v>201</v>
      </c>
    </row>
    <row r="253" spans="1:6">
      <c r="A253" s="3" t="s">
        <v>366</v>
      </c>
      <c r="B253" s="3" t="s">
        <v>367</v>
      </c>
      <c r="C253" s="3" t="s">
        <v>201</v>
      </c>
      <c r="D253" s="3" t="s">
        <v>504</v>
      </c>
      <c r="E253" s="3" t="s">
        <v>505</v>
      </c>
      <c r="F253" s="3" t="s">
        <v>201</v>
      </c>
    </row>
    <row r="254" spans="1:6">
      <c r="A254" s="3" t="s">
        <v>371</v>
      </c>
      <c r="B254" s="3" t="s">
        <v>372</v>
      </c>
      <c r="C254" s="3" t="s">
        <v>201</v>
      </c>
      <c r="D254" s="3" t="s">
        <v>481</v>
      </c>
      <c r="E254" s="3" t="s">
        <v>482</v>
      </c>
      <c r="F254" s="3" t="s">
        <v>201</v>
      </c>
    </row>
    <row r="255" spans="1:6">
      <c r="A255" s="3" t="s">
        <v>371</v>
      </c>
      <c r="B255" s="3" t="s">
        <v>372</v>
      </c>
      <c r="C255" s="3" t="s">
        <v>201</v>
      </c>
      <c r="D255" s="3" t="s">
        <v>485</v>
      </c>
      <c r="E255" s="3" t="s">
        <v>486</v>
      </c>
      <c r="F255" s="3" t="s">
        <v>201</v>
      </c>
    </row>
    <row r="256" spans="1:6">
      <c r="A256" s="3" t="s">
        <v>371</v>
      </c>
      <c r="B256" s="3" t="s">
        <v>372</v>
      </c>
      <c r="C256" s="3" t="s">
        <v>201</v>
      </c>
      <c r="D256" s="3" t="s">
        <v>489</v>
      </c>
      <c r="E256" s="3" t="s">
        <v>490</v>
      </c>
      <c r="F256" s="3" t="s">
        <v>201</v>
      </c>
    </row>
    <row r="257" spans="1:6">
      <c r="A257" s="3" t="s">
        <v>371</v>
      </c>
      <c r="B257" s="3" t="s">
        <v>372</v>
      </c>
      <c r="C257" s="3" t="s">
        <v>201</v>
      </c>
      <c r="D257" s="3" t="s">
        <v>493</v>
      </c>
      <c r="E257" s="3" t="s">
        <v>494</v>
      </c>
      <c r="F257" s="3" t="s">
        <v>201</v>
      </c>
    </row>
    <row r="258" spans="1:6">
      <c r="A258" s="3" t="s">
        <v>371</v>
      </c>
      <c r="B258" s="3" t="s">
        <v>372</v>
      </c>
      <c r="C258" s="3" t="s">
        <v>201</v>
      </c>
      <c r="D258" s="3" t="s">
        <v>497</v>
      </c>
      <c r="E258" s="3" t="s">
        <v>498</v>
      </c>
      <c r="F258" s="3" t="s">
        <v>201</v>
      </c>
    </row>
    <row r="259" spans="1:6">
      <c r="A259" s="3" t="s">
        <v>371</v>
      </c>
      <c r="B259" s="3" t="s">
        <v>372</v>
      </c>
      <c r="C259" s="3" t="s">
        <v>201</v>
      </c>
      <c r="D259" s="3" t="s">
        <v>504</v>
      </c>
      <c r="E259" s="3" t="s">
        <v>505</v>
      </c>
      <c r="F259" s="3" t="s">
        <v>201</v>
      </c>
    </row>
    <row r="260" spans="1:6">
      <c r="A260" s="3" t="s">
        <v>376</v>
      </c>
      <c r="B260" s="3" t="s">
        <v>377</v>
      </c>
      <c r="C260" s="3" t="s">
        <v>201</v>
      </c>
      <c r="D260" s="3" t="s">
        <v>481</v>
      </c>
      <c r="E260" s="3" t="s">
        <v>482</v>
      </c>
      <c r="F260" s="3" t="s">
        <v>201</v>
      </c>
    </row>
    <row r="261" spans="1:6">
      <c r="A261" s="3" t="s">
        <v>376</v>
      </c>
      <c r="B261" s="3" t="s">
        <v>377</v>
      </c>
      <c r="C261" s="3" t="s">
        <v>201</v>
      </c>
      <c r="D261" s="3" t="s">
        <v>485</v>
      </c>
      <c r="E261" s="3" t="s">
        <v>486</v>
      </c>
      <c r="F261" s="3" t="s">
        <v>201</v>
      </c>
    </row>
    <row r="262" spans="1:6">
      <c r="A262" s="3" t="s">
        <v>376</v>
      </c>
      <c r="B262" s="3" t="s">
        <v>377</v>
      </c>
      <c r="C262" s="3" t="s">
        <v>201</v>
      </c>
      <c r="D262" s="3" t="s">
        <v>489</v>
      </c>
      <c r="E262" s="3" t="s">
        <v>490</v>
      </c>
      <c r="F262" s="3" t="s">
        <v>201</v>
      </c>
    </row>
    <row r="263" spans="1:6">
      <c r="A263" s="3" t="s">
        <v>376</v>
      </c>
      <c r="B263" s="3" t="s">
        <v>377</v>
      </c>
      <c r="C263" s="3" t="s">
        <v>201</v>
      </c>
      <c r="D263" s="3" t="s">
        <v>493</v>
      </c>
      <c r="E263" s="3" t="s">
        <v>494</v>
      </c>
      <c r="F263" s="3" t="s">
        <v>201</v>
      </c>
    </row>
    <row r="264" spans="1:6">
      <c r="A264" s="3" t="s">
        <v>376</v>
      </c>
      <c r="B264" s="3" t="s">
        <v>377</v>
      </c>
      <c r="C264" s="3" t="s">
        <v>201</v>
      </c>
      <c r="D264" s="3" t="s">
        <v>497</v>
      </c>
      <c r="E264" s="3" t="s">
        <v>498</v>
      </c>
      <c r="F264" s="3" t="s">
        <v>201</v>
      </c>
    </row>
    <row r="265" spans="1:6">
      <c r="A265" s="3" t="s">
        <v>376</v>
      </c>
      <c r="B265" s="3" t="s">
        <v>377</v>
      </c>
      <c r="C265" s="3" t="s">
        <v>201</v>
      </c>
      <c r="D265" s="3" t="s">
        <v>504</v>
      </c>
      <c r="E265" s="3" t="s">
        <v>505</v>
      </c>
      <c r="F265" s="3" t="s">
        <v>201</v>
      </c>
    </row>
    <row r="266" spans="1:6">
      <c r="A266" s="3" t="s">
        <v>380</v>
      </c>
      <c r="B266" s="3" t="s">
        <v>381</v>
      </c>
      <c r="C266" s="3" t="s">
        <v>201</v>
      </c>
      <c r="D266" s="3" t="s">
        <v>481</v>
      </c>
      <c r="E266" s="3" t="s">
        <v>482</v>
      </c>
      <c r="F266" s="3" t="s">
        <v>201</v>
      </c>
    </row>
    <row r="267" spans="1:6">
      <c r="A267" s="3" t="s">
        <v>380</v>
      </c>
      <c r="B267" s="3" t="s">
        <v>381</v>
      </c>
      <c r="C267" s="3" t="s">
        <v>201</v>
      </c>
      <c r="D267" s="3" t="s">
        <v>485</v>
      </c>
      <c r="E267" s="3" t="s">
        <v>486</v>
      </c>
      <c r="F267" s="3" t="s">
        <v>201</v>
      </c>
    </row>
    <row r="268" spans="1:6">
      <c r="A268" s="3" t="s">
        <v>380</v>
      </c>
      <c r="B268" s="3" t="s">
        <v>381</v>
      </c>
      <c r="C268" s="3" t="s">
        <v>201</v>
      </c>
      <c r="D268" s="3" t="s">
        <v>489</v>
      </c>
      <c r="E268" s="3" t="s">
        <v>490</v>
      </c>
      <c r="F268" s="3" t="s">
        <v>201</v>
      </c>
    </row>
    <row r="269" spans="1:6">
      <c r="A269" s="3" t="s">
        <v>380</v>
      </c>
      <c r="B269" s="3" t="s">
        <v>381</v>
      </c>
      <c r="C269" s="3" t="s">
        <v>201</v>
      </c>
      <c r="D269" s="3" t="s">
        <v>493</v>
      </c>
      <c r="E269" s="3" t="s">
        <v>494</v>
      </c>
      <c r="F269" s="3" t="s">
        <v>201</v>
      </c>
    </row>
    <row r="270" spans="1:6">
      <c r="A270" s="3" t="s">
        <v>380</v>
      </c>
      <c r="B270" s="3" t="s">
        <v>381</v>
      </c>
      <c r="C270" s="3" t="s">
        <v>201</v>
      </c>
      <c r="D270" s="3" t="s">
        <v>497</v>
      </c>
      <c r="E270" s="3" t="s">
        <v>498</v>
      </c>
      <c r="F270" s="3" t="s">
        <v>201</v>
      </c>
    </row>
    <row r="271" spans="1:6">
      <c r="A271" s="3" t="s">
        <v>380</v>
      </c>
      <c r="B271" s="3" t="s">
        <v>381</v>
      </c>
      <c r="C271" s="3" t="s">
        <v>201</v>
      </c>
      <c r="D271" s="3" t="s">
        <v>504</v>
      </c>
      <c r="E271" s="3" t="s">
        <v>505</v>
      </c>
      <c r="F271" s="3" t="s">
        <v>201</v>
      </c>
    </row>
    <row r="272" spans="1:6">
      <c r="A272" s="3" t="s">
        <v>384</v>
      </c>
      <c r="B272" s="3" t="s">
        <v>385</v>
      </c>
      <c r="C272" s="3" t="s">
        <v>201</v>
      </c>
      <c r="D272" s="3" t="s">
        <v>481</v>
      </c>
      <c r="E272" s="3" t="s">
        <v>482</v>
      </c>
      <c r="F272" s="3" t="s">
        <v>201</v>
      </c>
    </row>
    <row r="273" spans="1:6">
      <c r="A273" s="3" t="s">
        <v>384</v>
      </c>
      <c r="B273" s="3" t="s">
        <v>385</v>
      </c>
      <c r="C273" s="3" t="s">
        <v>201</v>
      </c>
      <c r="D273" s="3" t="s">
        <v>485</v>
      </c>
      <c r="E273" s="3" t="s">
        <v>486</v>
      </c>
      <c r="F273" s="3" t="s">
        <v>201</v>
      </c>
    </row>
    <row r="274" spans="1:6">
      <c r="A274" s="3" t="s">
        <v>384</v>
      </c>
      <c r="B274" s="3" t="s">
        <v>385</v>
      </c>
      <c r="C274" s="3" t="s">
        <v>201</v>
      </c>
      <c r="D274" s="3" t="s">
        <v>489</v>
      </c>
      <c r="E274" s="3" t="s">
        <v>490</v>
      </c>
      <c r="F274" s="3" t="s">
        <v>201</v>
      </c>
    </row>
    <row r="275" spans="1:6">
      <c r="A275" s="3" t="s">
        <v>384</v>
      </c>
      <c r="B275" s="3" t="s">
        <v>385</v>
      </c>
      <c r="C275" s="3" t="s">
        <v>201</v>
      </c>
      <c r="D275" s="3" t="s">
        <v>493</v>
      </c>
      <c r="E275" s="3" t="s">
        <v>494</v>
      </c>
      <c r="F275" s="3" t="s">
        <v>201</v>
      </c>
    </row>
    <row r="276" spans="1:6">
      <c r="A276" s="3" t="s">
        <v>384</v>
      </c>
      <c r="B276" s="3" t="s">
        <v>385</v>
      </c>
      <c r="C276" s="3" t="s">
        <v>201</v>
      </c>
      <c r="D276" s="3" t="s">
        <v>497</v>
      </c>
      <c r="E276" s="3" t="s">
        <v>498</v>
      </c>
      <c r="F276" s="3" t="s">
        <v>201</v>
      </c>
    </row>
    <row r="277" spans="1:6">
      <c r="A277" s="3" t="s">
        <v>384</v>
      </c>
      <c r="B277" s="3" t="s">
        <v>385</v>
      </c>
      <c r="C277" s="3" t="s">
        <v>201</v>
      </c>
      <c r="D277" s="3" t="s">
        <v>504</v>
      </c>
      <c r="E277" s="3" t="s">
        <v>505</v>
      </c>
      <c r="F277" s="3" t="s">
        <v>201</v>
      </c>
    </row>
    <row r="278" spans="1:6">
      <c r="A278" s="3" t="s">
        <v>388</v>
      </c>
      <c r="B278" s="3" t="s">
        <v>389</v>
      </c>
      <c r="C278" s="3" t="s">
        <v>175</v>
      </c>
      <c r="D278" s="3" t="s">
        <v>466</v>
      </c>
      <c r="E278" s="3" t="s">
        <v>87</v>
      </c>
      <c r="F278" s="3" t="s">
        <v>175</v>
      </c>
    </row>
    <row r="279" spans="1:6">
      <c r="A279" s="3" t="s">
        <v>388</v>
      </c>
      <c r="B279" s="3" t="s">
        <v>389</v>
      </c>
      <c r="C279" s="3" t="s">
        <v>175</v>
      </c>
      <c r="D279" s="3" t="s">
        <v>469</v>
      </c>
      <c r="E279" s="3" t="s">
        <v>470</v>
      </c>
      <c r="F279" s="3" t="s">
        <v>175</v>
      </c>
    </row>
    <row r="280" spans="1:6">
      <c r="A280" s="3" t="s">
        <v>388</v>
      </c>
      <c r="B280" s="3" t="s">
        <v>389</v>
      </c>
      <c r="C280" s="3" t="s">
        <v>175</v>
      </c>
      <c r="D280" s="3" t="s">
        <v>473</v>
      </c>
      <c r="E280" s="3" t="s">
        <v>474</v>
      </c>
      <c r="F280" s="3" t="s">
        <v>175</v>
      </c>
    </row>
    <row r="281" spans="1:6">
      <c r="A281" s="3" t="s">
        <v>388</v>
      </c>
      <c r="B281" s="3" t="s">
        <v>389</v>
      </c>
      <c r="C281" s="3" t="s">
        <v>175</v>
      </c>
      <c r="D281" s="3" t="s">
        <v>477</v>
      </c>
      <c r="E281" s="3" t="s">
        <v>478</v>
      </c>
      <c r="F281" s="3" t="s">
        <v>175</v>
      </c>
    </row>
    <row r="282" spans="1:6">
      <c r="A282" s="3" t="s">
        <v>393</v>
      </c>
      <c r="B282" s="3" t="s">
        <v>394</v>
      </c>
      <c r="C282" s="3" t="s">
        <v>175</v>
      </c>
      <c r="D282" s="3" t="s">
        <v>466</v>
      </c>
      <c r="E282" s="3" t="s">
        <v>87</v>
      </c>
      <c r="F282" s="3" t="s">
        <v>175</v>
      </c>
    </row>
    <row r="283" spans="1:6">
      <c r="A283" s="3" t="s">
        <v>393</v>
      </c>
      <c r="B283" s="3" t="s">
        <v>394</v>
      </c>
      <c r="C283" s="3" t="s">
        <v>175</v>
      </c>
      <c r="D283" s="3" t="s">
        <v>469</v>
      </c>
      <c r="E283" s="3" t="s">
        <v>470</v>
      </c>
      <c r="F283" s="3" t="s">
        <v>175</v>
      </c>
    </row>
    <row r="284" spans="1:6">
      <c r="A284" s="3" t="s">
        <v>393</v>
      </c>
      <c r="B284" s="3" t="s">
        <v>394</v>
      </c>
      <c r="C284" s="3" t="s">
        <v>175</v>
      </c>
      <c r="D284" s="3" t="s">
        <v>473</v>
      </c>
      <c r="E284" s="3" t="s">
        <v>474</v>
      </c>
      <c r="F284" s="3" t="s">
        <v>175</v>
      </c>
    </row>
    <row r="285" spans="1:6">
      <c r="A285" s="3" t="s">
        <v>393</v>
      </c>
      <c r="B285" s="3" t="s">
        <v>394</v>
      </c>
      <c r="C285" s="3" t="s">
        <v>175</v>
      </c>
      <c r="D285" s="3" t="s">
        <v>477</v>
      </c>
      <c r="E285" s="3" t="s">
        <v>478</v>
      </c>
      <c r="F285" s="3" t="s">
        <v>175</v>
      </c>
    </row>
    <row r="286" spans="1:6">
      <c r="A286" s="3" t="s">
        <v>397</v>
      </c>
      <c r="B286" s="3" t="s">
        <v>398</v>
      </c>
      <c r="C286" s="3" t="s">
        <v>175</v>
      </c>
      <c r="D286" s="3" t="s">
        <v>466</v>
      </c>
      <c r="E286" s="3" t="s">
        <v>87</v>
      </c>
      <c r="F286" s="3" t="s">
        <v>175</v>
      </c>
    </row>
    <row r="287" spans="1:6">
      <c r="A287" s="3" t="s">
        <v>397</v>
      </c>
      <c r="B287" s="3" t="s">
        <v>398</v>
      </c>
      <c r="C287" s="3" t="s">
        <v>175</v>
      </c>
      <c r="D287" s="3" t="s">
        <v>469</v>
      </c>
      <c r="E287" s="3" t="s">
        <v>470</v>
      </c>
      <c r="F287" s="3" t="s">
        <v>175</v>
      </c>
    </row>
    <row r="288" spans="1:6">
      <c r="A288" s="3" t="s">
        <v>397</v>
      </c>
      <c r="B288" s="3" t="s">
        <v>398</v>
      </c>
      <c r="C288" s="3" t="s">
        <v>175</v>
      </c>
      <c r="D288" s="3" t="s">
        <v>473</v>
      </c>
      <c r="E288" s="3" t="s">
        <v>474</v>
      </c>
      <c r="F288" s="3" t="s">
        <v>175</v>
      </c>
    </row>
    <row r="289" spans="1:6">
      <c r="A289" s="3" t="s">
        <v>397</v>
      </c>
      <c r="B289" s="3" t="s">
        <v>398</v>
      </c>
      <c r="C289" s="3" t="s">
        <v>175</v>
      </c>
      <c r="D289" s="3" t="s">
        <v>477</v>
      </c>
      <c r="E289" s="3" t="s">
        <v>478</v>
      </c>
      <c r="F289" s="3" t="s">
        <v>175</v>
      </c>
    </row>
    <row r="290" spans="1:6">
      <c r="A290" s="3" t="s">
        <v>401</v>
      </c>
      <c r="B290" s="3" t="s">
        <v>402</v>
      </c>
      <c r="C290" s="3" t="s">
        <v>201</v>
      </c>
      <c r="D290" s="3" t="s">
        <v>481</v>
      </c>
      <c r="E290" s="3" t="s">
        <v>482</v>
      </c>
      <c r="F290" s="3" t="s">
        <v>201</v>
      </c>
    </row>
    <row r="291" spans="1:6">
      <c r="A291" s="3" t="s">
        <v>401</v>
      </c>
      <c r="B291" s="3" t="s">
        <v>402</v>
      </c>
      <c r="C291" s="3" t="s">
        <v>201</v>
      </c>
      <c r="D291" s="3" t="s">
        <v>485</v>
      </c>
      <c r="E291" s="3" t="s">
        <v>486</v>
      </c>
      <c r="F291" s="3" t="s">
        <v>201</v>
      </c>
    </row>
    <row r="292" spans="1:6">
      <c r="A292" s="3" t="s">
        <v>401</v>
      </c>
      <c r="B292" s="3" t="s">
        <v>402</v>
      </c>
      <c r="C292" s="3" t="s">
        <v>201</v>
      </c>
      <c r="D292" s="3" t="s">
        <v>489</v>
      </c>
      <c r="E292" s="3" t="s">
        <v>490</v>
      </c>
      <c r="F292" s="3" t="s">
        <v>201</v>
      </c>
    </row>
    <row r="293" spans="1:6">
      <c r="A293" s="3" t="s">
        <v>401</v>
      </c>
      <c r="B293" s="3" t="s">
        <v>402</v>
      </c>
      <c r="C293" s="3" t="s">
        <v>201</v>
      </c>
      <c r="D293" s="3" t="s">
        <v>493</v>
      </c>
      <c r="E293" s="3" t="s">
        <v>494</v>
      </c>
      <c r="F293" s="3" t="s">
        <v>201</v>
      </c>
    </row>
    <row r="294" spans="1:6">
      <c r="A294" s="3" t="s">
        <v>401</v>
      </c>
      <c r="B294" s="3" t="s">
        <v>402</v>
      </c>
      <c r="C294" s="3" t="s">
        <v>201</v>
      </c>
      <c r="D294" s="3" t="s">
        <v>497</v>
      </c>
      <c r="E294" s="3" t="s">
        <v>498</v>
      </c>
      <c r="F294" s="3" t="s">
        <v>201</v>
      </c>
    </row>
    <row r="295" spans="1:6">
      <c r="A295" s="3" t="s">
        <v>401</v>
      </c>
      <c r="B295" s="3" t="s">
        <v>402</v>
      </c>
      <c r="C295" s="3" t="s">
        <v>201</v>
      </c>
      <c r="D295" s="3" t="s">
        <v>504</v>
      </c>
      <c r="E295" s="3" t="s">
        <v>505</v>
      </c>
      <c r="F295" s="3" t="s">
        <v>201</v>
      </c>
    </row>
    <row r="296" spans="1:6">
      <c r="A296" s="3" t="s">
        <v>406</v>
      </c>
      <c r="B296" s="3" t="s">
        <v>407</v>
      </c>
      <c r="C296" s="3" t="s">
        <v>201</v>
      </c>
      <c r="D296" s="3" t="s">
        <v>481</v>
      </c>
      <c r="E296" s="3" t="s">
        <v>482</v>
      </c>
      <c r="F296" s="3" t="s">
        <v>201</v>
      </c>
    </row>
    <row r="297" spans="1:6">
      <c r="A297" s="3" t="s">
        <v>406</v>
      </c>
      <c r="B297" s="3" t="s">
        <v>407</v>
      </c>
      <c r="C297" s="3" t="s">
        <v>201</v>
      </c>
      <c r="D297" s="3" t="s">
        <v>485</v>
      </c>
      <c r="E297" s="3" t="s">
        <v>486</v>
      </c>
      <c r="F297" s="3" t="s">
        <v>201</v>
      </c>
    </row>
    <row r="298" spans="1:6">
      <c r="A298" s="3" t="s">
        <v>406</v>
      </c>
      <c r="B298" s="3" t="s">
        <v>407</v>
      </c>
      <c r="C298" s="3" t="s">
        <v>201</v>
      </c>
      <c r="D298" s="3" t="s">
        <v>489</v>
      </c>
      <c r="E298" s="3" t="s">
        <v>490</v>
      </c>
      <c r="F298" s="3" t="s">
        <v>201</v>
      </c>
    </row>
    <row r="299" spans="1:6">
      <c r="A299" s="3" t="s">
        <v>406</v>
      </c>
      <c r="B299" s="3" t="s">
        <v>407</v>
      </c>
      <c r="C299" s="3" t="s">
        <v>201</v>
      </c>
      <c r="D299" s="3" t="s">
        <v>493</v>
      </c>
      <c r="E299" s="3" t="s">
        <v>494</v>
      </c>
      <c r="F299" s="3" t="s">
        <v>201</v>
      </c>
    </row>
    <row r="300" spans="1:6">
      <c r="A300" s="3" t="s">
        <v>406</v>
      </c>
      <c r="B300" s="3" t="s">
        <v>407</v>
      </c>
      <c r="C300" s="3" t="s">
        <v>201</v>
      </c>
      <c r="D300" s="3" t="s">
        <v>497</v>
      </c>
      <c r="E300" s="3" t="s">
        <v>498</v>
      </c>
      <c r="F300" s="3" t="s">
        <v>201</v>
      </c>
    </row>
    <row r="301" spans="1:6">
      <c r="A301" s="3" t="s">
        <v>406</v>
      </c>
      <c r="B301" s="3" t="s">
        <v>407</v>
      </c>
      <c r="C301" s="3" t="s">
        <v>201</v>
      </c>
      <c r="D301" s="3" t="s">
        <v>504</v>
      </c>
      <c r="E301" s="3" t="s">
        <v>505</v>
      </c>
      <c r="F301" s="3" t="s">
        <v>201</v>
      </c>
    </row>
    <row r="302" spans="1:6">
      <c r="A302" s="3" t="s">
        <v>409</v>
      </c>
      <c r="B302" s="3" t="s">
        <v>410</v>
      </c>
      <c r="C302" s="3" t="s">
        <v>201</v>
      </c>
      <c r="D302" s="3" t="s">
        <v>481</v>
      </c>
      <c r="E302" s="3" t="s">
        <v>482</v>
      </c>
      <c r="F302" s="3" t="s">
        <v>201</v>
      </c>
    </row>
    <row r="303" spans="1:6">
      <c r="A303" s="3" t="s">
        <v>409</v>
      </c>
      <c r="B303" s="3" t="s">
        <v>410</v>
      </c>
      <c r="C303" s="3" t="s">
        <v>201</v>
      </c>
      <c r="D303" s="3" t="s">
        <v>485</v>
      </c>
      <c r="E303" s="3" t="s">
        <v>486</v>
      </c>
      <c r="F303" s="3" t="s">
        <v>201</v>
      </c>
    </row>
    <row r="304" spans="1:6">
      <c r="A304" s="3" t="s">
        <v>409</v>
      </c>
      <c r="B304" s="3" t="s">
        <v>410</v>
      </c>
      <c r="C304" s="3" t="s">
        <v>201</v>
      </c>
      <c r="D304" s="3" t="s">
        <v>489</v>
      </c>
      <c r="E304" s="3" t="s">
        <v>490</v>
      </c>
      <c r="F304" s="3" t="s">
        <v>201</v>
      </c>
    </row>
    <row r="305" spans="1:6">
      <c r="A305" s="3" t="s">
        <v>409</v>
      </c>
      <c r="B305" s="3" t="s">
        <v>410</v>
      </c>
      <c r="C305" s="3" t="s">
        <v>201</v>
      </c>
      <c r="D305" s="3" t="s">
        <v>493</v>
      </c>
      <c r="E305" s="3" t="s">
        <v>494</v>
      </c>
      <c r="F305" s="3" t="s">
        <v>201</v>
      </c>
    </row>
    <row r="306" spans="1:6">
      <c r="A306" s="3" t="s">
        <v>409</v>
      </c>
      <c r="B306" s="3" t="s">
        <v>410</v>
      </c>
      <c r="C306" s="3" t="s">
        <v>201</v>
      </c>
      <c r="D306" s="3" t="s">
        <v>497</v>
      </c>
      <c r="E306" s="3" t="s">
        <v>498</v>
      </c>
      <c r="F306" s="3" t="s">
        <v>201</v>
      </c>
    </row>
    <row r="307" spans="1:6">
      <c r="A307" s="3" t="s">
        <v>409</v>
      </c>
      <c r="B307" s="3" t="s">
        <v>410</v>
      </c>
      <c r="C307" s="3" t="s">
        <v>201</v>
      </c>
      <c r="D307" s="3" t="s">
        <v>504</v>
      </c>
      <c r="E307" s="3" t="s">
        <v>505</v>
      </c>
      <c r="F307" s="3" t="s">
        <v>201</v>
      </c>
    </row>
    <row r="308" spans="1:6">
      <c r="A308" s="3" t="s">
        <v>412</v>
      </c>
      <c r="B308" s="3" t="s">
        <v>413</v>
      </c>
      <c r="C308" s="3" t="s">
        <v>238</v>
      </c>
      <c r="D308" s="3" t="s">
        <v>548</v>
      </c>
      <c r="E308" s="3" t="s">
        <v>549</v>
      </c>
      <c r="F308" s="3" t="s">
        <v>238</v>
      </c>
    </row>
    <row r="309" spans="1:6">
      <c r="A309" s="3" t="s">
        <v>412</v>
      </c>
      <c r="B309" s="3" t="s">
        <v>413</v>
      </c>
      <c r="C309" s="3" t="s">
        <v>238</v>
      </c>
      <c r="D309" s="3" t="s">
        <v>552</v>
      </c>
      <c r="E309" s="3" t="s">
        <v>553</v>
      </c>
      <c r="F309" s="3" t="s">
        <v>238</v>
      </c>
    </row>
    <row r="310" spans="1:6">
      <c r="A310" s="3" t="s">
        <v>412</v>
      </c>
      <c r="B310" s="3" t="s">
        <v>413</v>
      </c>
      <c r="C310" s="3" t="s">
        <v>238</v>
      </c>
      <c r="D310" s="3" t="s">
        <v>556</v>
      </c>
      <c r="E310" s="3" t="s">
        <v>557</v>
      </c>
      <c r="F310" s="3" t="s">
        <v>557</v>
      </c>
    </row>
    <row r="311" spans="1:6">
      <c r="A311" s="3" t="s">
        <v>412</v>
      </c>
      <c r="B311" s="3" t="s">
        <v>413</v>
      </c>
      <c r="C311" s="3" t="s">
        <v>238</v>
      </c>
      <c r="D311" s="3" t="s">
        <v>560</v>
      </c>
      <c r="E311" s="3" t="s">
        <v>561</v>
      </c>
      <c r="F311" s="3" t="s">
        <v>557</v>
      </c>
    </row>
    <row r="312" spans="1:6">
      <c r="A312" s="3" t="s">
        <v>415</v>
      </c>
      <c r="B312" s="3" t="s">
        <v>416</v>
      </c>
      <c r="C312" s="3" t="s">
        <v>238</v>
      </c>
      <c r="D312" s="3" t="s">
        <v>548</v>
      </c>
      <c r="E312" s="3" t="s">
        <v>549</v>
      </c>
      <c r="F312" s="3" t="s">
        <v>238</v>
      </c>
    </row>
    <row r="313" spans="1:6">
      <c r="A313" s="3" t="s">
        <v>415</v>
      </c>
      <c r="B313" s="3" t="s">
        <v>416</v>
      </c>
      <c r="C313" s="3" t="s">
        <v>238</v>
      </c>
      <c r="D313" s="3" t="s">
        <v>552</v>
      </c>
      <c r="E313" s="3" t="s">
        <v>553</v>
      </c>
      <c r="F313" s="3" t="s">
        <v>238</v>
      </c>
    </row>
    <row r="314" spans="1:6">
      <c r="A314" s="3" t="s">
        <v>418</v>
      </c>
      <c r="B314" s="3" t="s">
        <v>419</v>
      </c>
      <c r="C314" s="3" t="s">
        <v>201</v>
      </c>
      <c r="D314" s="3" t="s">
        <v>481</v>
      </c>
      <c r="E314" s="3" t="s">
        <v>482</v>
      </c>
      <c r="F314" s="3" t="s">
        <v>201</v>
      </c>
    </row>
    <row r="315" spans="1:6">
      <c r="A315" s="3" t="s">
        <v>418</v>
      </c>
      <c r="B315" s="3" t="s">
        <v>419</v>
      </c>
      <c r="C315" s="3" t="s">
        <v>201</v>
      </c>
      <c r="D315" s="3" t="s">
        <v>485</v>
      </c>
      <c r="E315" s="3" t="s">
        <v>486</v>
      </c>
      <c r="F315" s="3" t="s">
        <v>201</v>
      </c>
    </row>
    <row r="316" spans="1:6">
      <c r="A316" s="3" t="s">
        <v>418</v>
      </c>
      <c r="B316" s="3" t="s">
        <v>419</v>
      </c>
      <c r="C316" s="3" t="s">
        <v>201</v>
      </c>
      <c r="D316" s="3" t="s">
        <v>489</v>
      </c>
      <c r="E316" s="3" t="s">
        <v>490</v>
      </c>
      <c r="F316" s="3" t="s">
        <v>201</v>
      </c>
    </row>
    <row r="317" spans="1:6">
      <c r="A317" s="3" t="s">
        <v>418</v>
      </c>
      <c r="B317" s="3" t="s">
        <v>419</v>
      </c>
      <c r="C317" s="3" t="s">
        <v>201</v>
      </c>
      <c r="D317" s="3" t="s">
        <v>493</v>
      </c>
      <c r="E317" s="3" t="s">
        <v>494</v>
      </c>
      <c r="F317" s="3" t="s">
        <v>201</v>
      </c>
    </row>
    <row r="318" spans="1:6">
      <c r="A318" s="3" t="s">
        <v>418</v>
      </c>
      <c r="B318" s="3" t="s">
        <v>419</v>
      </c>
      <c r="C318" s="3" t="s">
        <v>201</v>
      </c>
      <c r="D318" s="3" t="s">
        <v>497</v>
      </c>
      <c r="E318" s="3" t="s">
        <v>498</v>
      </c>
      <c r="F318" s="3" t="s">
        <v>201</v>
      </c>
    </row>
    <row r="319" spans="1:6">
      <c r="A319" s="3" t="s">
        <v>418</v>
      </c>
      <c r="B319" s="3" t="s">
        <v>419</v>
      </c>
      <c r="C319" s="3" t="s">
        <v>201</v>
      </c>
      <c r="D319" s="3" t="s">
        <v>504</v>
      </c>
      <c r="E319" s="3" t="s">
        <v>505</v>
      </c>
      <c r="F319" s="3" t="s">
        <v>201</v>
      </c>
    </row>
    <row r="320" spans="1:6">
      <c r="A320" s="3" t="s">
        <v>422</v>
      </c>
      <c r="B320" s="3" t="s">
        <v>423</v>
      </c>
      <c r="C320" s="3" t="s">
        <v>238</v>
      </c>
      <c r="D320" s="3" t="s">
        <v>548</v>
      </c>
      <c r="E320" s="3" t="s">
        <v>549</v>
      </c>
      <c r="F320" s="3" t="s">
        <v>238</v>
      </c>
    </row>
    <row r="321" spans="1:6">
      <c r="A321" s="3" t="s">
        <v>422</v>
      </c>
      <c r="B321" s="3" t="s">
        <v>423</v>
      </c>
      <c r="C321" s="3" t="s">
        <v>238</v>
      </c>
      <c r="D321" s="3" t="s">
        <v>552</v>
      </c>
      <c r="E321" s="3" t="s">
        <v>553</v>
      </c>
      <c r="F321" s="3" t="s">
        <v>238</v>
      </c>
    </row>
    <row r="322" spans="1:6">
      <c r="A322" s="3" t="s">
        <v>425</v>
      </c>
      <c r="B322" s="3" t="s">
        <v>426</v>
      </c>
      <c r="C322" s="3" t="s">
        <v>238</v>
      </c>
      <c r="D322" s="3" t="s">
        <v>548</v>
      </c>
      <c r="E322" s="3" t="s">
        <v>549</v>
      </c>
      <c r="F322" s="3" t="s">
        <v>238</v>
      </c>
    </row>
    <row r="323" spans="1:6">
      <c r="A323" s="3" t="s">
        <v>425</v>
      </c>
      <c r="B323" s="3" t="s">
        <v>426</v>
      </c>
      <c r="C323" s="3" t="s">
        <v>238</v>
      </c>
      <c r="D323" s="3" t="s">
        <v>552</v>
      </c>
      <c r="E323" s="3" t="s">
        <v>553</v>
      </c>
      <c r="F323" s="3" t="s">
        <v>238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8"/>
  <sheetViews>
    <sheetView workbookViewId="0"/>
  </sheetViews>
  <sheetFormatPr defaultRowHeight="13.8"/>
  <cols>
    <col min="1" max="1" width="18" customWidth="1"/>
    <col min="2" max="2" width="36" customWidth="1"/>
    <col min="3" max="3" width="42" customWidth="1"/>
    <col min="4" max="4" width="44" customWidth="1"/>
    <col min="5" max="5" width="34" customWidth="1"/>
    <col min="6" max="6" width="24" customWidth="1"/>
    <col min="7" max="7" width="22" customWidth="1"/>
    <col min="8" max="8" width="48" customWidth="1"/>
  </cols>
  <sheetData>
    <row r="1" spans="1:8" ht="22.35" customHeight="1">
      <c r="A1" s="21" t="s">
        <v>1892</v>
      </c>
      <c r="B1" s="22"/>
      <c r="C1" s="22"/>
      <c r="D1" s="22"/>
      <c r="E1" s="22"/>
      <c r="F1" s="22"/>
      <c r="G1" s="22"/>
      <c r="H1" s="22"/>
    </row>
    <row r="2" spans="1:8" ht="22.35" customHeight="1">
      <c r="A2" s="23" t="s">
        <v>1893</v>
      </c>
      <c r="B2" s="22"/>
      <c r="C2" s="22"/>
      <c r="D2" s="22"/>
      <c r="E2" s="22"/>
      <c r="F2" s="22"/>
      <c r="G2" s="22"/>
      <c r="H2" s="22"/>
    </row>
    <row r="4" spans="1:8">
      <c r="A4" s="6" t="s">
        <v>566</v>
      </c>
      <c r="B4" s="6" t="s">
        <v>1894</v>
      </c>
      <c r="C4" s="6" t="s">
        <v>1895</v>
      </c>
      <c r="D4" s="6" t="s">
        <v>1896</v>
      </c>
      <c r="E4" s="6" t="s">
        <v>1897</v>
      </c>
      <c r="F4" s="6" t="s">
        <v>1898</v>
      </c>
      <c r="G4" s="6" t="s">
        <v>1899</v>
      </c>
      <c r="H4" s="6" t="s">
        <v>73</v>
      </c>
    </row>
    <row r="5" spans="1:8">
      <c r="A5" s="3" t="s">
        <v>576</v>
      </c>
      <c r="B5" s="3" t="s">
        <v>1900</v>
      </c>
      <c r="C5" s="3" t="s">
        <v>1901</v>
      </c>
      <c r="D5" s="3" t="s">
        <v>1902</v>
      </c>
      <c r="E5" s="3" t="s">
        <v>1903</v>
      </c>
      <c r="F5" s="3" t="s">
        <v>1904</v>
      </c>
      <c r="G5" s="3" t="s">
        <v>83</v>
      </c>
      <c r="H5" s="3" t="s">
        <v>1905</v>
      </c>
    </row>
    <row r="6" spans="1:8">
      <c r="A6" s="3" t="s">
        <v>80</v>
      </c>
      <c r="B6" s="3" t="s">
        <v>1906</v>
      </c>
      <c r="C6" s="3" t="s">
        <v>1907</v>
      </c>
      <c r="D6" s="3" t="s">
        <v>1908</v>
      </c>
      <c r="E6" s="3" t="s">
        <v>1909</v>
      </c>
      <c r="F6" s="3" t="s">
        <v>1910</v>
      </c>
      <c r="G6" s="3" t="s">
        <v>83</v>
      </c>
      <c r="H6" s="3" t="s">
        <v>1911</v>
      </c>
    </row>
    <row r="7" spans="1:8">
      <c r="A7" s="3" t="s">
        <v>209</v>
      </c>
      <c r="B7" s="3" t="s">
        <v>1912</v>
      </c>
      <c r="C7" s="3" t="s">
        <v>1913</v>
      </c>
      <c r="D7" s="3" t="s">
        <v>1914</v>
      </c>
      <c r="E7" s="3" t="s">
        <v>107</v>
      </c>
      <c r="F7" s="3" t="s">
        <v>82</v>
      </c>
      <c r="G7" s="3" t="s">
        <v>596</v>
      </c>
      <c r="H7" s="3" t="s">
        <v>1915</v>
      </c>
    </row>
    <row r="8" spans="1:8">
      <c r="A8" s="3" t="s">
        <v>597</v>
      </c>
      <c r="B8" s="3" t="s">
        <v>1916</v>
      </c>
      <c r="C8" s="3" t="s">
        <v>1917</v>
      </c>
      <c r="D8" s="3" t="s">
        <v>1918</v>
      </c>
      <c r="E8" s="3" t="s">
        <v>1919</v>
      </c>
      <c r="F8" s="3" t="s">
        <v>1920</v>
      </c>
      <c r="G8" s="3" t="s">
        <v>92</v>
      </c>
      <c r="H8" s="3" t="s">
        <v>1921</v>
      </c>
    </row>
    <row r="9" spans="1:8">
      <c r="A9" s="3" t="s">
        <v>89</v>
      </c>
      <c r="B9" s="3" t="s">
        <v>1922</v>
      </c>
      <c r="C9" s="3" t="s">
        <v>1923</v>
      </c>
      <c r="D9" s="3" t="s">
        <v>1924</v>
      </c>
      <c r="E9" s="3" t="s">
        <v>1919</v>
      </c>
      <c r="F9" s="3" t="s">
        <v>1925</v>
      </c>
      <c r="G9" s="3" t="s">
        <v>92</v>
      </c>
      <c r="H9" s="3" t="s">
        <v>1926</v>
      </c>
    </row>
    <row r="10" spans="1:8">
      <c r="A10" s="3" t="s">
        <v>606</v>
      </c>
      <c r="B10" s="3" t="s">
        <v>1922</v>
      </c>
      <c r="C10" s="3" t="s">
        <v>1923</v>
      </c>
      <c r="D10" s="3" t="s">
        <v>1927</v>
      </c>
      <c r="E10" s="3" t="s">
        <v>1928</v>
      </c>
      <c r="F10" s="3" t="s">
        <v>847</v>
      </c>
      <c r="G10" s="3" t="s">
        <v>596</v>
      </c>
      <c r="H10" s="3" t="s">
        <v>1929</v>
      </c>
    </row>
    <row r="11" spans="1:8">
      <c r="A11" s="3" t="s">
        <v>98</v>
      </c>
      <c r="B11" s="3" t="s">
        <v>1930</v>
      </c>
      <c r="C11" s="3" t="s">
        <v>1931</v>
      </c>
      <c r="D11" s="3" t="s">
        <v>1932</v>
      </c>
      <c r="E11" s="3" t="s">
        <v>1933</v>
      </c>
      <c r="F11" s="3" t="s">
        <v>1934</v>
      </c>
      <c r="G11" s="3" t="s">
        <v>92</v>
      </c>
      <c r="H11" s="3" t="s">
        <v>1935</v>
      </c>
    </row>
    <row r="12" spans="1:8">
      <c r="A12" s="3" t="s">
        <v>612</v>
      </c>
      <c r="B12" s="3" t="s">
        <v>1936</v>
      </c>
      <c r="C12" s="3" t="s">
        <v>1937</v>
      </c>
      <c r="D12" s="3" t="s">
        <v>1938</v>
      </c>
      <c r="E12" s="3" t="s">
        <v>1939</v>
      </c>
      <c r="F12" s="3" t="s">
        <v>887</v>
      </c>
      <c r="G12" s="3" t="s">
        <v>92</v>
      </c>
      <c r="H12" s="3" t="s">
        <v>1940</v>
      </c>
    </row>
    <row r="13" spans="1:8">
      <c r="A13" s="3" t="s">
        <v>113</v>
      </c>
      <c r="B13" s="3" t="s">
        <v>1941</v>
      </c>
      <c r="C13" s="3" t="s">
        <v>1942</v>
      </c>
      <c r="D13" s="3" t="s">
        <v>579</v>
      </c>
      <c r="E13" s="3" t="s">
        <v>107</v>
      </c>
      <c r="F13" s="3" t="s">
        <v>82</v>
      </c>
      <c r="G13" s="3" t="s">
        <v>83</v>
      </c>
      <c r="H13" s="3" t="s">
        <v>1943</v>
      </c>
    </row>
    <row r="14" spans="1:8">
      <c r="A14" s="3" t="s">
        <v>631</v>
      </c>
      <c r="B14" s="3" t="s">
        <v>226</v>
      </c>
      <c r="C14" s="3" t="s">
        <v>1944</v>
      </c>
      <c r="D14" s="3" t="s">
        <v>1945</v>
      </c>
      <c r="E14" s="3" t="s">
        <v>1939</v>
      </c>
      <c r="F14" s="3" t="s">
        <v>627</v>
      </c>
      <c r="G14" s="3" t="s">
        <v>92</v>
      </c>
      <c r="H14" s="3" t="s">
        <v>1946</v>
      </c>
    </row>
    <row r="15" spans="1:8">
      <c r="A15" s="3" t="s">
        <v>643</v>
      </c>
      <c r="B15" s="3" t="s">
        <v>1947</v>
      </c>
      <c r="C15" s="3" t="s">
        <v>1948</v>
      </c>
      <c r="D15" s="3" t="s">
        <v>1949</v>
      </c>
      <c r="E15" s="3" t="s">
        <v>107</v>
      </c>
      <c r="F15" s="3" t="s">
        <v>82</v>
      </c>
      <c r="G15" s="3" t="s">
        <v>596</v>
      </c>
      <c r="H15" s="3" t="s">
        <v>1950</v>
      </c>
    </row>
    <row r="16" spans="1:8">
      <c r="A16" s="3" t="s">
        <v>694</v>
      </c>
      <c r="B16" s="3" t="s">
        <v>1951</v>
      </c>
      <c r="C16" s="3" t="s">
        <v>1952</v>
      </c>
      <c r="D16" s="3" t="s">
        <v>579</v>
      </c>
      <c r="E16" s="3" t="s">
        <v>107</v>
      </c>
      <c r="F16" s="3" t="s">
        <v>689</v>
      </c>
      <c r="G16" s="3" t="s">
        <v>83</v>
      </c>
      <c r="H16" s="3" t="s">
        <v>1953</v>
      </c>
    </row>
    <row r="17" spans="1:8">
      <c r="A17" s="3" t="s">
        <v>690</v>
      </c>
      <c r="B17" s="3" t="s">
        <v>1954</v>
      </c>
      <c r="C17" s="3" t="s">
        <v>1955</v>
      </c>
      <c r="D17" s="3" t="s">
        <v>1956</v>
      </c>
      <c r="E17" s="3" t="s">
        <v>1957</v>
      </c>
      <c r="F17" s="3" t="s">
        <v>693</v>
      </c>
      <c r="G17" s="3" t="s">
        <v>92</v>
      </c>
      <c r="H17" s="3" t="s">
        <v>1958</v>
      </c>
    </row>
    <row r="18" spans="1:8">
      <c r="A18" s="3" t="s">
        <v>680</v>
      </c>
      <c r="B18" s="3" t="s">
        <v>1959</v>
      </c>
      <c r="C18" s="3" t="s">
        <v>1960</v>
      </c>
      <c r="D18" s="3" t="s">
        <v>1961</v>
      </c>
      <c r="E18" s="3" t="s">
        <v>1957</v>
      </c>
      <c r="F18" s="3" t="s">
        <v>897</v>
      </c>
      <c r="G18" s="3" t="s">
        <v>92</v>
      </c>
      <c r="H18" s="3" t="s">
        <v>1962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34"/>
  <sheetViews>
    <sheetView workbookViewId="0"/>
  </sheetViews>
  <sheetFormatPr defaultRowHeight="13.8"/>
  <cols>
    <col min="1" max="1" width="16" customWidth="1"/>
    <col min="2" max="2" width="10" customWidth="1"/>
    <col min="3" max="3" width="32" customWidth="1"/>
    <col min="4" max="9" width="18" customWidth="1"/>
    <col min="10" max="10" width="22" customWidth="1"/>
    <col min="11" max="11" width="18" customWidth="1"/>
    <col min="12" max="12" width="20" customWidth="1"/>
    <col min="13" max="13" width="48" customWidth="1"/>
  </cols>
  <sheetData>
    <row r="1" spans="1:14" ht="22.35" customHeight="1">
      <c r="A1" s="21" t="s">
        <v>1963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2.35" customHeight="1">
      <c r="A2" s="23" t="s">
        <v>1964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4" spans="1:14">
      <c r="A4" s="8" t="s">
        <v>1965</v>
      </c>
      <c r="B4" s="8" t="s">
        <v>60</v>
      </c>
      <c r="C4" s="8" t="s">
        <v>1966</v>
      </c>
      <c r="D4" s="8" t="s">
        <v>722</v>
      </c>
      <c r="E4" s="8" t="s">
        <v>723</v>
      </c>
      <c r="F4" s="8" t="s">
        <v>724</v>
      </c>
      <c r="G4" s="8" t="s">
        <v>725</v>
      </c>
      <c r="H4" s="8" t="s">
        <v>726</v>
      </c>
      <c r="I4" s="8" t="s">
        <v>1967</v>
      </c>
      <c r="J4" s="8" t="s">
        <v>72</v>
      </c>
      <c r="K4" s="8" t="s">
        <v>71</v>
      </c>
      <c r="L4" s="8" t="s">
        <v>1032</v>
      </c>
      <c r="M4" s="8" t="s">
        <v>73</v>
      </c>
    </row>
    <row r="5" spans="1:14">
      <c r="A5" s="3" t="s">
        <v>1968</v>
      </c>
      <c r="B5" s="3" t="s">
        <v>75</v>
      </c>
      <c r="C5" s="3" t="s">
        <v>1969</v>
      </c>
      <c r="D5" s="3" t="s">
        <v>576</v>
      </c>
      <c r="E5" s="3" t="s">
        <v>80</v>
      </c>
      <c r="F5" s="3" t="s">
        <v>105</v>
      </c>
      <c r="G5" s="3" t="s">
        <v>113</v>
      </c>
      <c r="H5" s="3" t="s">
        <v>694</v>
      </c>
      <c r="I5" s="3"/>
      <c r="J5" s="3" t="s">
        <v>92</v>
      </c>
      <c r="K5" s="3" t="s">
        <v>689</v>
      </c>
      <c r="L5" s="3" t="s">
        <v>914</v>
      </c>
      <c r="M5" s="3" t="s">
        <v>1970</v>
      </c>
    </row>
    <row r="6" spans="1:14">
      <c r="A6" s="3" t="s">
        <v>1971</v>
      </c>
      <c r="B6" s="3" t="s">
        <v>75</v>
      </c>
      <c r="C6" s="3" t="s">
        <v>1972</v>
      </c>
      <c r="D6" s="3" t="s">
        <v>576</v>
      </c>
      <c r="E6" s="3" t="s">
        <v>624</v>
      </c>
      <c r="F6" s="3" t="s">
        <v>80</v>
      </c>
      <c r="G6" s="3" t="s">
        <v>627</v>
      </c>
      <c r="H6" s="3" t="s">
        <v>631</v>
      </c>
      <c r="I6" s="3" t="s">
        <v>694</v>
      </c>
      <c r="J6" s="3" t="s">
        <v>92</v>
      </c>
      <c r="K6" s="3" t="s">
        <v>91</v>
      </c>
      <c r="L6" s="3" t="s">
        <v>942</v>
      </c>
      <c r="M6" s="3" t="s">
        <v>1973</v>
      </c>
    </row>
    <row r="7" spans="1:14">
      <c r="A7" s="3" t="s">
        <v>1974</v>
      </c>
      <c r="B7" s="3" t="s">
        <v>119</v>
      </c>
      <c r="C7" s="3" t="s">
        <v>1975</v>
      </c>
      <c r="D7" s="3" t="s">
        <v>576</v>
      </c>
      <c r="E7" s="3" t="s">
        <v>80</v>
      </c>
      <c r="F7" s="3" t="s">
        <v>105</v>
      </c>
      <c r="G7" s="3" t="s">
        <v>89</v>
      </c>
      <c r="H7" s="3" t="s">
        <v>694</v>
      </c>
      <c r="I7" s="3"/>
      <c r="J7" s="3" t="s">
        <v>92</v>
      </c>
      <c r="K7" s="3" t="s">
        <v>82</v>
      </c>
      <c r="L7" s="3" t="s">
        <v>81</v>
      </c>
      <c r="M7" s="3" t="s">
        <v>1976</v>
      </c>
    </row>
    <row r="8" spans="1:14">
      <c r="A8" s="3" t="s">
        <v>1977</v>
      </c>
      <c r="B8" s="3" t="s">
        <v>119</v>
      </c>
      <c r="C8" s="3"/>
      <c r="D8" s="3"/>
      <c r="E8" s="3"/>
      <c r="F8" s="3"/>
      <c r="G8" s="3"/>
      <c r="H8" s="3"/>
      <c r="I8" s="3"/>
      <c r="J8" s="3" t="s">
        <v>83</v>
      </c>
      <c r="K8" s="3" t="s">
        <v>82</v>
      </c>
      <c r="L8" s="3" t="s">
        <v>107</v>
      </c>
      <c r="M8" s="3"/>
    </row>
    <row r="9" spans="1:14">
      <c r="A9" s="3" t="s">
        <v>1978</v>
      </c>
      <c r="B9" s="3" t="s">
        <v>119</v>
      </c>
      <c r="C9" s="3"/>
      <c r="D9" s="3"/>
      <c r="E9" s="3"/>
      <c r="F9" s="3"/>
      <c r="G9" s="3"/>
      <c r="H9" s="3"/>
      <c r="I9" s="3"/>
      <c r="J9" s="3" t="s">
        <v>83</v>
      </c>
      <c r="K9" s="3" t="s">
        <v>82</v>
      </c>
      <c r="L9" s="3" t="s">
        <v>107</v>
      </c>
      <c r="M9" s="3"/>
    </row>
    <row r="10" spans="1:14">
      <c r="A10" s="3" t="s">
        <v>1979</v>
      </c>
      <c r="B10" s="3" t="s">
        <v>119</v>
      </c>
      <c r="C10" s="3"/>
      <c r="D10" s="3"/>
      <c r="E10" s="3"/>
      <c r="F10" s="3"/>
      <c r="G10" s="3"/>
      <c r="H10" s="3"/>
      <c r="I10" s="3"/>
      <c r="J10" s="3" t="s">
        <v>83</v>
      </c>
      <c r="K10" s="3" t="s">
        <v>82</v>
      </c>
      <c r="L10" s="3" t="s">
        <v>107</v>
      </c>
      <c r="M10" s="3"/>
    </row>
    <row r="11" spans="1:14">
      <c r="A11" s="3" t="s">
        <v>1980</v>
      </c>
      <c r="B11" s="3" t="s">
        <v>119</v>
      </c>
      <c r="C11" s="3"/>
      <c r="D11" s="3"/>
      <c r="E11" s="3"/>
      <c r="F11" s="3"/>
      <c r="G11" s="3"/>
      <c r="H11" s="3"/>
      <c r="I11" s="3"/>
      <c r="J11" s="3" t="s">
        <v>83</v>
      </c>
      <c r="K11" s="3" t="s">
        <v>82</v>
      </c>
      <c r="L11" s="3" t="s">
        <v>107</v>
      </c>
      <c r="M11" s="3"/>
    </row>
    <row r="12" spans="1:14">
      <c r="A12" s="3" t="s">
        <v>1981</v>
      </c>
      <c r="B12" s="3" t="s">
        <v>119</v>
      </c>
      <c r="C12" s="3"/>
      <c r="D12" s="3"/>
      <c r="E12" s="3"/>
      <c r="F12" s="3"/>
      <c r="G12" s="3"/>
      <c r="H12" s="3"/>
      <c r="I12" s="3"/>
      <c r="J12" s="3" t="s">
        <v>83</v>
      </c>
      <c r="K12" s="3" t="s">
        <v>82</v>
      </c>
      <c r="L12" s="3" t="s">
        <v>107</v>
      </c>
      <c r="M12" s="3"/>
    </row>
    <row r="13" spans="1:14">
      <c r="A13" s="3" t="s">
        <v>1982</v>
      </c>
      <c r="B13" s="3" t="s">
        <v>119</v>
      </c>
      <c r="C13" s="3"/>
      <c r="D13" s="3"/>
      <c r="E13" s="3"/>
      <c r="F13" s="3"/>
      <c r="G13" s="3"/>
      <c r="H13" s="3"/>
      <c r="I13" s="3"/>
      <c r="J13" s="3" t="s">
        <v>83</v>
      </c>
      <c r="K13" s="3" t="s">
        <v>82</v>
      </c>
      <c r="L13" s="3" t="s">
        <v>107</v>
      </c>
      <c r="M13" s="3"/>
    </row>
    <row r="14" spans="1:14">
      <c r="A14" s="3" t="s">
        <v>1983</v>
      </c>
      <c r="B14" s="3" t="s">
        <v>119</v>
      </c>
      <c r="C14" s="3"/>
      <c r="D14" s="3"/>
      <c r="E14" s="3"/>
      <c r="F14" s="3"/>
      <c r="G14" s="3"/>
      <c r="H14" s="3"/>
      <c r="I14" s="3"/>
      <c r="J14" s="3" t="s">
        <v>83</v>
      </c>
      <c r="K14" s="3" t="s">
        <v>82</v>
      </c>
      <c r="L14" s="3" t="s">
        <v>107</v>
      </c>
      <c r="M14" s="3"/>
    </row>
    <row r="15" spans="1:14">
      <c r="A15" s="3" t="s">
        <v>1984</v>
      </c>
      <c r="B15" s="3" t="s">
        <v>119</v>
      </c>
      <c r="C15" s="3"/>
      <c r="D15" s="3"/>
      <c r="E15" s="3"/>
      <c r="F15" s="3"/>
      <c r="G15" s="3"/>
      <c r="H15" s="3"/>
      <c r="I15" s="3"/>
      <c r="J15" s="3" t="s">
        <v>83</v>
      </c>
      <c r="K15" s="3" t="s">
        <v>82</v>
      </c>
      <c r="L15" s="3" t="s">
        <v>107</v>
      </c>
      <c r="M15" s="3"/>
    </row>
    <row r="16" spans="1:14">
      <c r="A16" s="3" t="s">
        <v>1985</v>
      </c>
      <c r="B16" s="3" t="s">
        <v>119</v>
      </c>
      <c r="C16" s="3"/>
      <c r="D16" s="3"/>
      <c r="E16" s="3"/>
      <c r="F16" s="3"/>
      <c r="G16" s="3"/>
      <c r="H16" s="3"/>
      <c r="I16" s="3"/>
      <c r="J16" s="3" t="s">
        <v>83</v>
      </c>
      <c r="K16" s="3" t="s">
        <v>82</v>
      </c>
      <c r="L16" s="3" t="s">
        <v>107</v>
      </c>
      <c r="M16" s="3"/>
    </row>
    <row r="17" spans="1:13">
      <c r="A17" s="3" t="s">
        <v>1986</v>
      </c>
      <c r="B17" s="3" t="s">
        <v>119</v>
      </c>
      <c r="C17" s="3"/>
      <c r="D17" s="3"/>
      <c r="E17" s="3"/>
      <c r="F17" s="3"/>
      <c r="G17" s="3"/>
      <c r="H17" s="3"/>
      <c r="I17" s="3"/>
      <c r="J17" s="3" t="s">
        <v>83</v>
      </c>
      <c r="K17" s="3" t="s">
        <v>82</v>
      </c>
      <c r="L17" s="3" t="s">
        <v>107</v>
      </c>
      <c r="M17" s="3"/>
    </row>
    <row r="18" spans="1:13">
      <c r="A18" s="3" t="s">
        <v>1987</v>
      </c>
      <c r="B18" s="3" t="s">
        <v>119</v>
      </c>
      <c r="C18" s="3"/>
      <c r="D18" s="3"/>
      <c r="E18" s="3"/>
      <c r="F18" s="3"/>
      <c r="G18" s="3"/>
      <c r="H18" s="3"/>
      <c r="I18" s="3"/>
      <c r="J18" s="3" t="s">
        <v>83</v>
      </c>
      <c r="K18" s="3" t="s">
        <v>82</v>
      </c>
      <c r="L18" s="3" t="s">
        <v>107</v>
      </c>
      <c r="M18" s="3"/>
    </row>
    <row r="19" spans="1:13">
      <c r="A19" s="3" t="s">
        <v>1988</v>
      </c>
      <c r="B19" s="3" t="s">
        <v>119</v>
      </c>
      <c r="C19" s="3"/>
      <c r="D19" s="3"/>
      <c r="E19" s="3"/>
      <c r="F19" s="3"/>
      <c r="G19" s="3"/>
      <c r="H19" s="3"/>
      <c r="I19" s="3"/>
      <c r="J19" s="3" t="s">
        <v>83</v>
      </c>
      <c r="K19" s="3" t="s">
        <v>82</v>
      </c>
      <c r="L19" s="3" t="s">
        <v>107</v>
      </c>
      <c r="M19" s="3"/>
    </row>
    <row r="20" spans="1:13">
      <c r="A20" s="3" t="s">
        <v>1989</v>
      </c>
      <c r="B20" s="3" t="s">
        <v>119</v>
      </c>
      <c r="C20" s="3"/>
      <c r="D20" s="3"/>
      <c r="E20" s="3"/>
      <c r="F20" s="3"/>
      <c r="G20" s="3"/>
      <c r="H20" s="3"/>
      <c r="I20" s="3"/>
      <c r="J20" s="3" t="s">
        <v>83</v>
      </c>
      <c r="K20" s="3" t="s">
        <v>82</v>
      </c>
      <c r="L20" s="3" t="s">
        <v>107</v>
      </c>
      <c r="M20" s="3"/>
    </row>
    <row r="21" spans="1:13">
      <c r="A21" s="3" t="s">
        <v>1990</v>
      </c>
      <c r="B21" s="3" t="s">
        <v>119</v>
      </c>
      <c r="C21" s="3"/>
      <c r="D21" s="3"/>
      <c r="E21" s="3"/>
      <c r="F21" s="3"/>
      <c r="G21" s="3"/>
      <c r="H21" s="3"/>
      <c r="I21" s="3"/>
      <c r="J21" s="3" t="s">
        <v>83</v>
      </c>
      <c r="K21" s="3" t="s">
        <v>82</v>
      </c>
      <c r="L21" s="3" t="s">
        <v>107</v>
      </c>
      <c r="M21" s="3"/>
    </row>
    <row r="22" spans="1:13">
      <c r="A22" s="3" t="s">
        <v>1991</v>
      </c>
      <c r="B22" s="3" t="s">
        <v>119</v>
      </c>
      <c r="C22" s="3"/>
      <c r="D22" s="3"/>
      <c r="E22" s="3"/>
      <c r="F22" s="3"/>
      <c r="G22" s="3"/>
      <c r="H22" s="3"/>
      <c r="I22" s="3"/>
      <c r="J22" s="3" t="s">
        <v>83</v>
      </c>
      <c r="K22" s="3" t="s">
        <v>82</v>
      </c>
      <c r="L22" s="3" t="s">
        <v>107</v>
      </c>
      <c r="M22" s="3"/>
    </row>
    <row r="23" spans="1:13">
      <c r="A23" s="3" t="s">
        <v>1992</v>
      </c>
      <c r="B23" s="3" t="s">
        <v>119</v>
      </c>
      <c r="C23" s="3"/>
      <c r="D23" s="3"/>
      <c r="E23" s="3"/>
      <c r="F23" s="3"/>
      <c r="G23" s="3"/>
      <c r="H23" s="3"/>
      <c r="I23" s="3"/>
      <c r="J23" s="3" t="s">
        <v>83</v>
      </c>
      <c r="K23" s="3" t="s">
        <v>82</v>
      </c>
      <c r="L23" s="3" t="s">
        <v>107</v>
      </c>
      <c r="M23" s="3"/>
    </row>
    <row r="24" spans="1:13">
      <c r="A24" s="3" t="s">
        <v>1993</v>
      </c>
      <c r="B24" s="3" t="s">
        <v>119</v>
      </c>
      <c r="C24" s="3"/>
      <c r="D24" s="3"/>
      <c r="E24" s="3"/>
      <c r="F24" s="3"/>
      <c r="G24" s="3"/>
      <c r="H24" s="3"/>
      <c r="I24" s="3"/>
      <c r="J24" s="3" t="s">
        <v>83</v>
      </c>
      <c r="K24" s="3" t="s">
        <v>82</v>
      </c>
      <c r="L24" s="3" t="s">
        <v>107</v>
      </c>
      <c r="M24" s="3"/>
    </row>
    <row r="25" spans="1:13">
      <c r="A25" s="3" t="s">
        <v>1994</v>
      </c>
      <c r="B25" s="3" t="s">
        <v>119</v>
      </c>
      <c r="C25" s="3"/>
      <c r="D25" s="3"/>
      <c r="E25" s="3"/>
      <c r="F25" s="3"/>
      <c r="G25" s="3"/>
      <c r="H25" s="3"/>
      <c r="I25" s="3"/>
      <c r="J25" s="3" t="s">
        <v>83</v>
      </c>
      <c r="K25" s="3" t="s">
        <v>82</v>
      </c>
      <c r="L25" s="3" t="s">
        <v>107</v>
      </c>
      <c r="M25" s="3"/>
    </row>
    <row r="26" spans="1:13">
      <c r="A26" s="3" t="s">
        <v>1995</v>
      </c>
      <c r="B26" s="3" t="s">
        <v>119</v>
      </c>
      <c r="C26" s="3"/>
      <c r="D26" s="3"/>
      <c r="E26" s="3"/>
      <c r="F26" s="3"/>
      <c r="G26" s="3"/>
      <c r="H26" s="3"/>
      <c r="I26" s="3"/>
      <c r="J26" s="3" t="s">
        <v>83</v>
      </c>
      <c r="K26" s="3" t="s">
        <v>82</v>
      </c>
      <c r="L26" s="3" t="s">
        <v>107</v>
      </c>
      <c r="M26" s="3"/>
    </row>
    <row r="27" spans="1:13">
      <c r="A27" s="3" t="s">
        <v>1996</v>
      </c>
      <c r="B27" s="3" t="s">
        <v>119</v>
      </c>
      <c r="C27" s="3"/>
      <c r="D27" s="3"/>
      <c r="E27" s="3"/>
      <c r="F27" s="3"/>
      <c r="G27" s="3"/>
      <c r="H27" s="3"/>
      <c r="I27" s="3"/>
      <c r="J27" s="3" t="s">
        <v>83</v>
      </c>
      <c r="K27" s="3" t="s">
        <v>82</v>
      </c>
      <c r="L27" s="3" t="s">
        <v>107</v>
      </c>
      <c r="M27" s="3"/>
    </row>
    <row r="28" spans="1:13">
      <c r="A28" s="3" t="s">
        <v>1997</v>
      </c>
      <c r="B28" s="3" t="s">
        <v>119</v>
      </c>
      <c r="C28" s="3"/>
      <c r="D28" s="3"/>
      <c r="E28" s="3"/>
      <c r="F28" s="3"/>
      <c r="G28" s="3"/>
      <c r="H28" s="3"/>
      <c r="I28" s="3"/>
      <c r="J28" s="3" t="s">
        <v>83</v>
      </c>
      <c r="K28" s="3" t="s">
        <v>82</v>
      </c>
      <c r="L28" s="3" t="s">
        <v>107</v>
      </c>
      <c r="M28" s="3"/>
    </row>
    <row r="29" spans="1:13">
      <c r="A29" s="3" t="s">
        <v>1998</v>
      </c>
      <c r="B29" s="3" t="s">
        <v>119</v>
      </c>
      <c r="C29" s="3"/>
      <c r="D29" s="3"/>
      <c r="E29" s="3"/>
      <c r="F29" s="3"/>
      <c r="G29" s="3"/>
      <c r="H29" s="3"/>
      <c r="I29" s="3"/>
      <c r="J29" s="3" t="s">
        <v>83</v>
      </c>
      <c r="K29" s="3" t="s">
        <v>82</v>
      </c>
      <c r="L29" s="3" t="s">
        <v>107</v>
      </c>
      <c r="M29" s="3"/>
    </row>
    <row r="30" spans="1:13">
      <c r="A30" s="3" t="s">
        <v>1999</v>
      </c>
      <c r="B30" s="3" t="s">
        <v>119</v>
      </c>
      <c r="C30" s="3"/>
      <c r="D30" s="3"/>
      <c r="E30" s="3"/>
      <c r="F30" s="3"/>
      <c r="G30" s="3"/>
      <c r="H30" s="3"/>
      <c r="I30" s="3"/>
      <c r="J30" s="3" t="s">
        <v>83</v>
      </c>
      <c r="K30" s="3" t="s">
        <v>82</v>
      </c>
      <c r="L30" s="3" t="s">
        <v>107</v>
      </c>
      <c r="M30" s="3"/>
    </row>
    <row r="31" spans="1:13">
      <c r="A31" s="3" t="s">
        <v>2000</v>
      </c>
      <c r="B31" s="3" t="s">
        <v>119</v>
      </c>
      <c r="C31" s="3"/>
      <c r="D31" s="3"/>
      <c r="E31" s="3"/>
      <c r="F31" s="3"/>
      <c r="G31" s="3"/>
      <c r="H31" s="3"/>
      <c r="I31" s="3"/>
      <c r="J31" s="3" t="s">
        <v>83</v>
      </c>
      <c r="K31" s="3" t="s">
        <v>82</v>
      </c>
      <c r="L31" s="3" t="s">
        <v>107</v>
      </c>
      <c r="M31" s="3"/>
    </row>
    <row r="32" spans="1:13">
      <c r="A32" s="3" t="s">
        <v>2001</v>
      </c>
      <c r="B32" s="3" t="s">
        <v>119</v>
      </c>
      <c r="C32" s="3"/>
      <c r="D32" s="3"/>
      <c r="E32" s="3"/>
      <c r="F32" s="3"/>
      <c r="G32" s="3"/>
      <c r="H32" s="3"/>
      <c r="I32" s="3"/>
      <c r="J32" s="3" t="s">
        <v>83</v>
      </c>
      <c r="K32" s="3" t="s">
        <v>82</v>
      </c>
      <c r="L32" s="3" t="s">
        <v>107</v>
      </c>
      <c r="M32" s="3"/>
    </row>
    <row r="33" spans="1:13">
      <c r="A33" s="3" t="s">
        <v>2002</v>
      </c>
      <c r="B33" s="3" t="s">
        <v>119</v>
      </c>
      <c r="C33" s="3"/>
      <c r="D33" s="3"/>
      <c r="E33" s="3"/>
      <c r="F33" s="3"/>
      <c r="G33" s="3"/>
      <c r="H33" s="3"/>
      <c r="I33" s="3"/>
      <c r="J33" s="3" t="s">
        <v>83</v>
      </c>
      <c r="K33" s="3" t="s">
        <v>82</v>
      </c>
      <c r="L33" s="3" t="s">
        <v>107</v>
      </c>
      <c r="M33" s="3"/>
    </row>
    <row r="34" spans="1:13">
      <c r="A34" s="3" t="s">
        <v>2003</v>
      </c>
      <c r="B34" s="3" t="s">
        <v>119</v>
      </c>
      <c r="C34" s="3"/>
      <c r="D34" s="3"/>
      <c r="E34" s="3"/>
      <c r="F34" s="3"/>
      <c r="G34" s="3"/>
      <c r="H34" s="3"/>
      <c r="I34" s="3"/>
      <c r="J34" s="3" t="s">
        <v>83</v>
      </c>
      <c r="K34" s="3" t="s">
        <v>82</v>
      </c>
      <c r="L34" s="3" t="s">
        <v>107</v>
      </c>
      <c r="M34" s="3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2200-000000000000}">
          <x14:formula1>
            <xm:f>Lists!$K$5:$K$6</xm:f>
          </x14:formula1>
          <xm:sqref>B5:B34</xm:sqref>
        </x14:dataValidation>
        <x14:dataValidation type="list" xr:uid="{00000000-0002-0000-2200-000001000000}">
          <x14:formula1>
            <xm:f>Lists!$C$5:$C$36</xm:f>
          </x14:formula1>
          <xm:sqref>D5:I34</xm:sqref>
        </x14:dataValidation>
        <x14:dataValidation type="list" xr:uid="{00000000-0002-0000-2200-000007000000}">
          <x14:formula1>
            <xm:f>Lists!$I$5:$I$9</xm:f>
          </x14:formula1>
          <xm:sqref>J5:J34</xm:sqref>
        </x14:dataValidation>
        <x14:dataValidation type="list" xr:uid="{00000000-0002-0000-2200-000008000000}">
          <x14:formula1>
            <xm:f>Lists!$D$5:$D$22</xm:f>
          </x14:formula1>
          <xm:sqref>K5:K34</xm:sqref>
        </x14:dataValidation>
        <x14:dataValidation type="list" xr:uid="{00000000-0002-0000-2200-000009000000}">
          <x14:formula1>
            <xm:f>Lists!$E$5:$E$16</xm:f>
          </x14:formula1>
          <xm:sqref>L5:L34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Dashboard</vt:lpstr>
      <vt:lpstr>Rule_Builder</vt:lpstr>
      <vt:lpstr>Fields</vt:lpstr>
      <vt:lpstr>Operators</vt:lpstr>
      <vt:lpstr>Actions_Master</vt:lpstr>
      <vt:lpstr>Action_Map</vt:lpstr>
      <vt:lpstr>Action_Sequence_Matrix</vt:lpstr>
      <vt:lpstr>View_Modes</vt:lpstr>
      <vt:lpstr>Guardrails</vt:lpstr>
      <vt:lpstr>Automation_Triggers</vt:lpstr>
      <vt:lpstr>Automation_Rules</vt:lpstr>
      <vt:lpstr>Compatibility_Matrix</vt:lpstr>
      <vt:lpstr>Symptoms</vt:lpstr>
      <vt:lpstr>Workflow_Templates</vt:lpstr>
      <vt:lpstr>Report_Sections</vt:lpstr>
      <vt:lpstr>Ledger_Schema</vt:lpstr>
      <vt:lpstr>Simulation_Lab</vt:lpstr>
      <vt:lpstr>Lists</vt:lpstr>
      <vt:lpstr>ACT_LOOK_SCAN</vt:lpstr>
      <vt:lpstr>ACT_CLASSIFY</vt:lpstr>
      <vt:lpstr>ACT_TAG</vt:lpstr>
      <vt:lpstr>ACT_RENAME</vt:lpstr>
      <vt:lpstr>ACT_MOVE</vt:lpstr>
      <vt:lpstr>ACT_COPY</vt:lpstr>
      <vt:lpstr>ACT_ARCHIVE</vt:lpstr>
      <vt:lpstr>ACT_DELETE_LATER</vt:lpstr>
      <vt:lpstr>ACT_PROTECT</vt:lpstr>
      <vt:lpstr>ACT_COMPARE_DEDUPE</vt:lpstr>
      <vt:lpstr>ACT_SIDECAR</vt:lpstr>
      <vt:lpstr>ACT_REPORT</vt:lpstr>
      <vt:lpstr>ACT_AUTOMATION</vt:lpstr>
      <vt:lpstr>ACT_ANALYZE_EXTRACT</vt:lpstr>
      <vt:lpstr>Field_Operator_Map</vt:lpstr>
      <vt:lpstr>Action_Conditions</vt:lpstr>
      <vt:lpstr>Routine_Builder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Lowe</cp:lastModifiedBy>
  <dcterms:created xsi:type="dcterms:W3CDTF">2026-08-12T20:56:54Z</dcterms:created>
  <dcterms:modified xsi:type="dcterms:W3CDTF">2026-08-12T20:56:54Z</dcterms:modified>
</cp:coreProperties>
</file>